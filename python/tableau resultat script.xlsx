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hny/Git/gbfs-app/python/"/>
    </mc:Choice>
  </mc:AlternateContent>
  <xr:revisionPtr revIDLastSave="0" documentId="13_ncr:1_{F1032E22-C9B0-164D-8BA5-EA53A5FE112A}" xr6:coauthVersionLast="47" xr6:coauthVersionMax="47" xr10:uidLastSave="{00000000-0000-0000-0000-000000000000}"/>
  <bookViews>
    <workbookView xWindow="36740" yWindow="-5900" windowWidth="39120" windowHeight="26700" xr2:uid="{7855CE2F-3F23-504F-B6D6-66CCE62FC1C6}"/>
  </bookViews>
  <sheets>
    <sheet name="system_metrics_2025_05_to_10" sheetId="2" r:id="rId1"/>
    <sheet name="max_bikes_available_last_snapsh" sheetId="21" r:id="rId2"/>
    <sheet name="fleet_estimate_delta_algo_2025-" sheetId="22" r:id="rId3"/>
    <sheet name="estimated_trips_from_maxhalford" sheetId="23" r:id="rId4"/>
    <sheet name="Sheet2" sheetId="14" r:id="rId5"/>
    <sheet name="system_metrics_2025_05_to_10 (3" sheetId="12" r:id="rId6"/>
    <sheet name="bike_id_fleet_estimates (2)" sheetId="13" r:id="rId7"/>
    <sheet name="maxhalford_capacity_estimates (" sheetId="6" r:id="rId8"/>
  </sheets>
  <definedNames>
    <definedName name="ExternalData_1" localSheetId="6" hidden="1">'bike_id_fleet_estimates (2)'!$A$1:$D$5</definedName>
    <definedName name="ExternalData_1" localSheetId="3" hidden="1">estimated_trips_from_maxhalford!$A$1:$L$77</definedName>
    <definedName name="ExternalData_1" localSheetId="2" hidden="1">'fleet_estimate_delta_algo_2025-'!$A$1:$I$77</definedName>
    <definedName name="ExternalData_1" localSheetId="1" hidden="1">max_bikes_available_last_snapsh!$A$1:$K$77</definedName>
    <definedName name="ExternalData_1" localSheetId="7" hidden="1">'maxhalford_capacity_estimates ('!$A$1:$C$9</definedName>
    <definedName name="ExternalData_1" localSheetId="0" hidden="1">system_metrics_2025_05_to_10!$A$1:$I$11</definedName>
    <definedName name="ExternalData_1" localSheetId="5" hidden="1">'system_metrics_2025_05_to_10 (3'!$A$1:$F$12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8" i="12" l="1"/>
  <c r="D18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4B1B8B-9077-B54E-9660-EE96E33988D3}" keepAlive="1" name="Query - bike_id_fleet_estimates" description="Connection to the 'bike_id_fleet_estimates' query in the workbook." type="5" refreshedVersion="8" background="1" saveData="1">
    <dbPr connection="Provider=Microsoft.Mashup.OleDb.1;Data Source=$Workbook$;Location=bike_id_fleet_estimates;Extended Properties=&quot;&quot;" command="SELECT * FROM [bike_id_fleet_estimates]"/>
  </connection>
  <connection id="2" xr16:uid="{77774434-23A7-D34C-8781-3839CF27CAB3}" keepAlive="1" name="Query - bike_id_fleet_estimates (2)" description="Connection to the 'bike_id_fleet_estimates (2)' query in the workbook." type="5" refreshedVersion="8" background="1" saveData="1">
    <dbPr connection="Provider=Microsoft.Mashup.OleDb.1;Data Source=$Workbook$;Location=&quot;bike_id_fleet_estimates (2)&quot;;Extended Properties=&quot;&quot;" command="SELECT * FROM [bike_id_fleet_estimates (2)]"/>
  </connection>
  <connection id="3" xr16:uid="{52FD622C-9B23-BB4D-A4D7-8EBEBDA07565}" keepAlive="1" name="Query - divvy_normalized" description="Connection to the 'divvy_normalized' query in the workbook." type="5" refreshedVersion="8" background="1" saveData="1">
    <dbPr connection="Provider=Microsoft.Mashup.OleDb.1;Data Source=$Workbook$;Location=divvy_normalized;Extended Properties=&quot;&quot;" command="SELECT * FROM [divvy_normalized]"/>
  </connection>
  <connection id="4" xr16:uid="{2613CC44-B21C-D848-89CA-8D33D942DE56}" keepAlive="1" name="Query - divvy_normalized (2)" description="Connection to the 'divvy_normalized (2)' query in the workbook." type="5" refreshedVersion="8" background="1" saveData="1">
    <dbPr connection="Provider=Microsoft.Mashup.OleDb.1;Data Source=$Workbook$;Location=&quot;divvy_normalized (2)&quot;;Extended Properties=&quot;&quot;" command="SELECT * FROM [divvy_normalized (2)]"/>
  </connection>
  <connection id="5" xr16:uid="{F6CF6136-7133-3A47-9FFA-D974CEDA004E}" keepAlive="1" name="Query - estimated_trips_from_maxhalford_2025-05-01_to_2025-10-31" description="Connection to the 'estimated_trips_from_maxhalford_2025-05-01_to_2025-10-31' query in the workbook." type="5" refreshedVersion="8" background="1" saveData="1">
    <dbPr connection="Provider=Microsoft.Mashup.OleDb.1;Data Source=$Workbook$;Location=estimated_trips_from_maxhalford_2025-05-01_to_2025-10-31;Extended Properties=&quot;&quot;" command="SELECT * FROM [estimated_trips_from_maxhalford_2025-05-01_to_2025-10-31]"/>
  </connection>
  <connection id="6" xr16:uid="{7F571250-CABF-E044-846B-D3AADCE472BB}" keepAlive="1" name="Query - fleet_estimate_delta_algo_2025-05-01_to_2025-10-31" description="Connection to the 'fleet_estimate_delta_algo_2025-05-01_to_2025-10-31' query in the workbook." type="5" refreshedVersion="8" background="1" saveData="1">
    <dbPr connection="Provider=Microsoft.Mashup.OleDb.1;Data Source=$Workbook$;Location=fleet_estimate_delta_algo_2025-05-01_to_2025-10-31;Extended Properties=&quot;&quot;" command="SELECT * FROM [fleet_estimate_delta_algo_2025-05-01_to_2025-10-31]"/>
  </connection>
  <connection id="7" xr16:uid="{F32C6417-EFA0-D141-AB63-969FC316D328}" keepAlive="1" name="Query - max_bikes_available_2025-05-01_to_2025-10-31" description="Connection to the 'max_bikes_available_2025-05-01_to_2025-10-31' query in the workbook." type="5" refreshedVersion="0" background="1">
    <dbPr connection="Provider=Microsoft.Mashup.OleDb.1;Data Source=$Workbook$;Location=max_bikes_available_2025-05-01_to_2025-10-31;Extended Properties=&quot;&quot;" command="SELECT * FROM [max_bikes_available_2025-05-01_to_2025-10-31]"/>
  </connection>
  <connection id="8" xr16:uid="{9B2783BA-A4BA-F045-9508-7B9DFF4DEFEB}" keepAlive="1" name="Query - max_bikes_available_2025-05-01_to_2025-10-31 (2)" description="Connection to the 'max_bikes_available_2025-05-01_to_2025-10-31 (2)' query in the workbook." type="5" refreshedVersion="0" background="1">
    <dbPr connection="Provider=Microsoft.Mashup.OleDb.1;Data Source=$Workbook$;Location=&quot;max_bikes_available_2025-05-01_to_2025-10-31 (2)&quot;;Extended Properties=&quot;&quot;" command="SELECT * FROM [max_bikes_available_2025-05-01_to_2025-10-31 (2)]"/>
  </connection>
  <connection id="9" xr16:uid="{95935B00-4A02-B64A-8C40-84E40BD607E6}" keepAlive="1" name="Query - max_bikes_available_last_snapshot_2025-05-01_to_2025-10-31_1h_interval_24h_max_a" description="Connection to the 'max_bikes_available_last_snapshot_2025-05-01_to_2025-10-31_1h_interval_24h_max_a' query in the workbook." type="5" refreshedVersion="8" background="1" saveData="1">
    <dbPr connection="Provider=Microsoft.Mashup.OleDb.1;Data Source=$Workbook$;Location=max_bikes_available_last_snapshot_2025-05-01_to_2025-10-31_1h_interval_24h_max_a;Extended Properties=&quot;&quot;" command="SELECT * FROM [max_bikes_available_last_snapshot_2025-05-01_to_2025-10-31_1h_interval_24h_max_a]"/>
  </connection>
  <connection id="10" xr16:uid="{57161FF6-CF6C-744E-9644-B97B4D854DC4}" keepAlive="1" name="Query - maxhalford_capacity_estimates" description="Connection to the 'maxhalford_capacity_estimates' query in the workbook." type="5" refreshedVersion="8" background="1" saveData="1">
    <dbPr connection="Provider=Microsoft.Mashup.OleDb.1;Data Source=$Workbook$;Location=maxhalford_capacity_estimates;Extended Properties=&quot;&quot;" command="SELECT * FROM [maxhalford_capacity_estimates]"/>
  </connection>
  <connection id="11" xr16:uid="{2B29A8E9-D02A-E742-912B-04A0F539EF09}" keepAlive="1" name="Query - maxhalford_capacity_estimates (2)" description="Connection to the 'maxhalford_capacity_estimates (2)' query in the workbook." type="5" refreshedVersion="8" background="1" saveData="1">
    <dbPr connection="Provider=Microsoft.Mashup.OleDb.1;Data Source=$Workbook$;Location=&quot;maxhalford_capacity_estimates (2)&quot;;Extended Properties=&quot;&quot;" command="SELECT * FROM [maxhalford_capacity_estimates (2)]"/>
  </connection>
  <connection id="12" xr16:uid="{19525F64-2EF0-CB40-A454-3C9B605E0FA0}" keepAlive="1" name="Query - morning_bikes_baseline_2025-07-15_4h" description="Connection to the 'morning_bikes_baseline_2025-07-15_4h' query in the workbook." type="5" refreshedVersion="0" background="1">
    <dbPr connection="Provider=Microsoft.Mashup.OleDb.1;Data Source=$Workbook$;Location=morning_bikes_baseline_2025-07-15_4h;Extended Properties=&quot;&quot;" command="SELECT * FROM [morning_bikes_baseline_2025-07-15_4h]"/>
  </connection>
  <connection id="13" xr16:uid="{640320F3-97E1-4441-8CF8-4F84BC8C7DB6}" keepAlive="1" name="Query - morning_bikes_baseline_2025-07-15_4h (2)" description="Connection to the 'morning_bikes_baseline_2025-07-15_4h (2)' query in the workbook." type="5" refreshedVersion="0" background="1">
    <dbPr connection="Provider=Microsoft.Mashup.OleDb.1;Data Source=$Workbook$;Location=&quot;morning_bikes_baseline_2025-07-15_4h (2)&quot;;Extended Properties=&quot;&quot;" command="SELECT * FROM [morning_bikes_baseline_2025-07-15_4h (2)]"/>
  </connection>
  <connection id="14" xr16:uid="{0F7E5140-E26D-CA47-BD98-987496EC8FC4}" keepAlive="1" name="Query - morning_bikes_baseline_2025-07-15_4h (3)" description="Connection to the 'morning_bikes_baseline_2025-07-15_4h (3)' query in the workbook." type="5" refreshedVersion="8" background="1" saveData="1">
    <dbPr connection="Provider=Microsoft.Mashup.OleDb.1;Data Source=$Workbook$;Location=&quot;morning_bikes_baseline_2025-07-15_4h (3)&quot;;Extended Properties=&quot;&quot;" command="SELECT * FROM [morning_bikes_baseline_2025-07-15_4h (3)]"/>
  </connection>
  <connection id="15" xr16:uid="{8C07054B-678C-024D-A511-5B2C583132E5}" keepAlive="1" name="Query - morning_bikes_baseline_2025-07-15_4h (4)" description="Connection to the 'morning_bikes_baseline_2025-07-15_4h (4)' query in the workbook." type="5" refreshedVersion="8" background="1" saveData="1">
    <dbPr connection="Provider=Microsoft.Mashup.OleDb.1;Data Source=$Workbook$;Location=&quot;morning_bikes_baseline_2025-07-15_4h (4)&quot;;Extended Properties=&quot;&quot;" command="SELECT * FROM [morning_bikes_baseline_2025-07-15_4h (4)]"/>
  </connection>
  <connection id="16" xr16:uid="{C81BA680-E7F4-D34D-9F2D-8B3DB4599956}" keepAlive="1" name="Query - system_metrics_2025_05_to_10" description="Connection to the 'system_metrics_2025_05_to_10' query in the workbook." type="5" refreshedVersion="8" background="1" saveData="1">
    <dbPr connection="Provider=Microsoft.Mashup.OleDb.1;Data Source=$Workbook$;Location=system_metrics_2025_05_to_10;Extended Properties=&quot;&quot;" command="SELECT * FROM [system_metrics_2025_05_to_10]"/>
  </connection>
  <connection id="17" xr16:uid="{2487EFD6-413D-C248-A430-E5459D7855B1}" keepAlive="1" name="Query - system_metrics_2025_05_to_10 (2)" description="Connection to the 'system_metrics_2025_05_to_10 (2)' query in the workbook." type="5" refreshedVersion="8" background="1" saveData="1">
    <dbPr connection="Provider=Microsoft.Mashup.OleDb.1;Data Source=$Workbook$;Location=&quot;system_metrics_2025_05_to_10 (2)&quot;;Extended Properties=&quot;&quot;" command="SELECT * FROM [system_metrics_2025_05_to_10 (2)]"/>
  </connection>
  <connection id="18" xr16:uid="{2BC3DDA2-9457-E942-A7F4-7E6369615002}" keepAlive="1" name="Query - system_metrics_2025_05_to_10 (3)" description="Connection to the 'system_metrics_2025_05_to_10 (3)' query in the workbook." type="5" refreshedVersion="8" background="1" saveData="1">
    <dbPr connection="Provider=Microsoft.Mashup.OleDb.1;Data Source=$Workbook$;Location=&quot;system_metrics_2025_05_to_10 (3)&quot;;Extended Properties=&quot;&quot;" command="SELECT * FROM [system_metrics_2025_05_to_10 (3)]"/>
  </connection>
</connections>
</file>

<file path=xl/sharedStrings.xml><?xml version="1.0" encoding="utf-8"?>
<sst xmlns="http://schemas.openxmlformats.org/spreadsheetml/2006/main" count="580" uniqueCount="149">
  <si>
    <t>system_id</t>
  </si>
  <si>
    <t>total_trips</t>
  </si>
  <si>
    <t>days</t>
  </si>
  <si>
    <t>stations</t>
  </si>
  <si>
    <t>trips_per_day</t>
  </si>
  <si>
    <t>trips_per_station_per_day</t>
  </si>
  <si>
    <t>City</t>
  </si>
  <si>
    <t>Mexico City</t>
  </si>
  <si>
    <t>Montreal</t>
  </si>
  <si>
    <t>Bike Share Toronto</t>
  </si>
  <si>
    <t>Toronto</t>
  </si>
  <si>
    <t>Boston</t>
  </si>
  <si>
    <t>Capital Bike Share</t>
  </si>
  <si>
    <t>Washington DC</t>
  </si>
  <si>
    <t xml:space="preserve">Lyft-Bay Wheels </t>
  </si>
  <si>
    <t>San Francisco</t>
  </si>
  <si>
    <t>Los Angeles</t>
  </si>
  <si>
    <t>Metro Bike Share</t>
  </si>
  <si>
    <t>Citi Bike</t>
  </si>
  <si>
    <t>Bixi</t>
  </si>
  <si>
    <t>Ecobici</t>
  </si>
  <si>
    <t>Blue Bikes</t>
  </si>
  <si>
    <t>Divvy Bikes</t>
  </si>
  <si>
    <t>Chicago</t>
  </si>
  <si>
    <t>Philapelphia</t>
  </si>
  <si>
    <t>Indego</t>
  </si>
  <si>
    <t>bike_id_column</t>
  </si>
  <si>
    <t>unique_bike_ids</t>
  </si>
  <si>
    <t>rows_analyzed</t>
  </si>
  <si>
    <t>metro</t>
  </si>
  <si>
    <t>bike_id</t>
  </si>
  <si>
    <t>indego</t>
  </si>
  <si>
    <t>bikeshare</t>
  </si>
  <si>
    <t>Bike_Id</t>
  </si>
  <si>
    <t>ecobici</t>
  </si>
  <si>
    <t>Bici</t>
  </si>
  <si>
    <t>Number of Bike</t>
  </si>
  <si>
    <t>Nombre de borne disponible</t>
  </si>
  <si>
    <t>total_station_capacity</t>
  </si>
  <si>
    <t>bixi</t>
  </si>
  <si>
    <t>toronto</t>
  </si>
  <si>
    <t>divvy</t>
  </si>
  <si>
    <t>baywheels</t>
  </si>
  <si>
    <t>capital</t>
  </si>
  <si>
    <t>**Calculer avec Max Halford max(bike available + stand available) entre mai et oct 2025</t>
  </si>
  <si>
    <t>New York et JC</t>
  </si>
  <si>
    <t>citibike</t>
  </si>
  <si>
    <t>bluebikes</t>
  </si>
  <si>
    <t>jccitibike</t>
  </si>
  <si>
    <t>NY stations: 2288
JC stations: 416
Overlap: 403</t>
  </si>
  <si>
    <t>https://www.lyft.com/blog/posts/citi-bike-electrical-infrastructure-ebike-boom</t>
  </si>
  <si>
    <t>dubai_careem_bike</t>
  </si>
  <si>
    <t>buenos_aires_ecobici</t>
  </si>
  <si>
    <t>vienna_nextbike</t>
  </si>
  <si>
    <t>antwerp_blue_bike</t>
  </si>
  <si>
    <t>antwerp_velo_antwerpen</t>
  </si>
  <si>
    <t>brussels_jcdecaux</t>
  </si>
  <si>
    <t>namur_jcdecaux</t>
  </si>
  <si>
    <t>porto_alegre_bike_itau</t>
  </si>
  <si>
    <t>rio_de_janeiro_bike_itau</t>
  </si>
  <si>
    <t>salvador_bike_itau</t>
  </si>
  <si>
    <t>sampa_bike_itau</t>
  </si>
  <si>
    <t>montreal_bixi</t>
  </si>
  <si>
    <t>quebec_city_avelo</t>
  </si>
  <si>
    <t>toronto_bike_share_toronto</t>
  </si>
  <si>
    <t>vancouver_mobi_bike_share</t>
  </si>
  <si>
    <t>bogota_tembici</t>
  </si>
  <si>
    <t>brno_nextbike</t>
  </si>
  <si>
    <t>olomouc_nextbike</t>
  </si>
  <si>
    <t>ostrava_nextbike</t>
  </si>
  <si>
    <t>prague_nextbike</t>
  </si>
  <si>
    <t>berlin_nextbike</t>
  </si>
  <si>
    <t>dusseldorf_nextbike</t>
  </si>
  <si>
    <t>frankfurt_nextbike</t>
  </si>
  <si>
    <t>freiburg_frelo_freiburg</t>
  </si>
  <si>
    <t>leipzig_nextbike</t>
  </si>
  <si>
    <t>barcelona_bicing</t>
  </si>
  <si>
    <t>madrid_bicimad</t>
  </si>
  <si>
    <t>santander_jcdecaux</t>
  </si>
  <si>
    <t>sevilla_jcdecaux</t>
  </si>
  <si>
    <t>valencia_jcdecaux</t>
  </si>
  <si>
    <t>amiens_jcdecaux</t>
  </si>
  <si>
    <t>besancon_jcdecaux</t>
  </si>
  <si>
    <t>cergy_pontoise_jcdecaux</t>
  </si>
  <si>
    <t>clermont_ferrand_c_velo</t>
  </si>
  <si>
    <t>creteil_jcdecaux</t>
  </si>
  <si>
    <t>lyon_jcdecaux</t>
  </si>
  <si>
    <t>marseille_jcdecaux</t>
  </si>
  <si>
    <t>mulhouse_jcdecaux</t>
  </si>
  <si>
    <t>nancy_jcdecaux</t>
  </si>
  <si>
    <t>nantes_jcdecaux</t>
  </si>
  <si>
    <t>paris_smovengo</t>
  </si>
  <si>
    <t>toulouse_jcdecaux</t>
  </si>
  <si>
    <t>budapest_mol_bubi</t>
  </si>
  <si>
    <t>dublin_jcdecaux</t>
  </si>
  <si>
    <t>milan_bikemi</t>
  </si>
  <si>
    <t>tokyo_docomo_bike_sharing</t>
  </si>
  <si>
    <t>toyama_jcdecaux</t>
  </si>
  <si>
    <t>vilnius_jcdecaux</t>
  </si>
  <si>
    <t>luxembourg_jcdecaux</t>
  </si>
  <si>
    <t>guadalajara_mibici</t>
  </si>
  <si>
    <t>mexico_city_ecobici</t>
  </si>
  <si>
    <t>bergen_bergen_bysykkel</t>
  </si>
  <si>
    <t>lillestrom_jcdecaux</t>
  </si>
  <si>
    <t>oslo_oslo_bysykkel</t>
  </si>
  <si>
    <t>stavanger_kolumbus_bysykkel</t>
  </si>
  <si>
    <t>gothenburg_styr_stall</t>
  </si>
  <si>
    <t>lund_jcdecaux</t>
  </si>
  <si>
    <t>ljubljana_jcdecaux</t>
  </si>
  <si>
    <t>maribor_jcdecaux</t>
  </si>
  <si>
    <t>boulder_bcycle</t>
  </si>
  <si>
    <t>chattanooga_bike_chattanooga</t>
  </si>
  <si>
    <t>chicago_divvy</t>
  </si>
  <si>
    <t>honolulu_biki</t>
  </si>
  <si>
    <t>milwaukee_bublr_bikes</t>
  </si>
  <si>
    <t>new_york_city_citibike</t>
  </si>
  <si>
    <t>philadelphia_indego</t>
  </si>
  <si>
    <t>san_francisco_bay_area_bay_wheels</t>
  </si>
  <si>
    <t>santa_cruz_bcycle</t>
  </si>
  <si>
    <t>washington_dc_capital_bikeshare</t>
  </si>
  <si>
    <t>brighton_beryl</t>
  </si>
  <si>
    <t>manchester_beryl</t>
  </si>
  <si>
    <t>norwich_beryl</t>
  </si>
  <si>
    <t>plymouth_beryl</t>
  </si>
  <si>
    <t>portsmouth_beryl</t>
  </si>
  <si>
    <t>southampton_beryl</t>
  </si>
  <si>
    <t>glasgow_nextbike</t>
  </si>
  <si>
    <t>start_date</t>
  </si>
  <si>
    <t>end_date</t>
  </si>
  <si>
    <t>max_bikes_available</t>
  </si>
  <si>
    <t>max_target_time</t>
  </si>
  <si>
    <t>interval_hours</t>
  </si>
  <si>
    <t>max_age_hours</t>
  </si>
  <si>
    <t>avg_age_minutes</t>
  </si>
  <si>
    <t>max_age_minutes</t>
  </si>
  <si>
    <t>error</t>
  </si>
  <si>
    <t/>
  </si>
  <si>
    <t>IO Error: No files found that match the pattern "s3://bike-sharing-history/marseille/jcdecaux/*/*.parquet"
LINE 23:             FROM read_parquet('s3://bike-sharing-history/marseille/jcdecaux...
                          ^</t>
  </si>
  <si>
    <t>observations</t>
  </si>
  <si>
    <t>fleet_estimate_delta_initial</t>
  </si>
  <si>
    <t>fleet_estimate_delta_final</t>
  </si>
  <si>
    <t>net_delta</t>
  </si>
  <si>
    <t>IO Error: No files found that match the pattern "s3://bike-sharing-history/marseille/jcdecaux/*/*.parquet"
LINE 13:         FROM read_parquet('s3://bike-sharing-history/marseille/jcdecaux...
                      ^</t>
  </si>
  <si>
    <t>estimated_total_trips_departures</t>
  </si>
  <si>
    <t>estimated_total_trips_arrivals</t>
  </si>
  <si>
    <t>estimated_total_trips_half_movements</t>
  </si>
  <si>
    <t>estimated_trips_per_day_departures</t>
  </si>
  <si>
    <t>estimated_trips_per_station_per_day_departures</t>
  </si>
  <si>
    <t>IO Error: No files found that match the pattern "s3://bike-sharing-history/marseille/jcdecaux/*/*.parquet"
LINE 14:             FROM read_parquet('s3://bike-sharing-history/marseille/jcdecaux...
                          ^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</si>
</sst>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3" fontId="0" fillId="0" borderId="0" xfId="0" applyNumberFormat="1"/>
    <xf numFmtId="0" fontId="0" fillId="0" borderId="1" xfId="0" applyBorder="1"/>
    <xf numFmtId="0" fontId="0" fillId="0" borderId="0" xfId="0" applyAlignment="1">
      <alignment wrapText="1"/>
    </xf>
    <xf numFmtId="0" fontId="1" fillId="2" borderId="0" xfId="1" applyFill="1"/>
    <xf numFmtId="14" fontId="0" fillId="0" borderId="0" xfId="0" applyNumberFormat="1"/>
    <xf numFmtId="22" fontId="0" fillId="0" borderId="0" xfId="0" applyNumberFormat="1"/>
    <xf numFmtId="0" fontId="0" fillId="3" borderId="0" xfId="0" applyFill="1"/>
    <xf numFmtId="14" fontId="0" fillId="3" borderId="0" xfId="0" applyNumberFormat="1" applyFill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19" formatCode="yyyy/mm/dd"/>
    </dxf>
    <dxf>
      <numFmt numFmtId="19" formatCode="yyyy/mm/dd"/>
    </dxf>
    <dxf>
      <numFmt numFmtId="0" formatCode="General"/>
    </dxf>
    <dxf>
      <numFmt numFmtId="0" formatCode="General"/>
    </dxf>
    <dxf>
      <numFmt numFmtId="27" formatCode="yyyy/mm/dd\ h:mm"/>
    </dxf>
    <dxf>
      <numFmt numFmtId="19" formatCode="yyyy/mm/dd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19" formatCode="yyyy/mm/dd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2C6971B7-E67E-604C-B5C3-E6E16DC9B489}" autoFormatId="16" applyNumberFormats="0" applyBorderFormats="0" applyFontFormats="0" applyPatternFormats="0" applyAlignmentFormats="0" applyWidthHeightFormats="0">
  <queryTableRefresh nextId="10">
    <queryTableFields count="9">
      <queryTableField id="1" name="system_id" tableColumnId="1"/>
      <queryTableField id="7" dataBound="0" tableColumnId="8"/>
      <queryTableField id="2" name="total_trips" tableColumnId="2"/>
      <queryTableField id="3" name="days" tableColumnId="3"/>
      <queryTableField id="9" dataBound="0" tableColumnId="9"/>
      <queryTableField id="8" dataBound="0" tableColumnId="7"/>
      <queryTableField id="4" name="stations" tableColumnId="4"/>
      <queryTableField id="5" name="trips_per_day" tableColumnId="5"/>
      <queryTableField id="6" name="trips_per_station_per_day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D7EFE1C2-BD94-1442-8DD8-8997270C7150}" autoFormatId="16" applyNumberFormats="0" applyBorderFormats="0" applyFontFormats="0" applyPatternFormats="0" applyAlignmentFormats="0" applyWidthHeightFormats="0">
  <queryTableRefresh nextId="12">
    <queryTableFields count="11">
      <queryTableField id="1" name="system_id" tableColumnId="1"/>
      <queryTableField id="2" name="start_date" tableColumnId="2"/>
      <queryTableField id="3" name="end_date" tableColumnId="3"/>
      <queryTableField id="4" name="interval_hours" tableColumnId="4"/>
      <queryTableField id="5" name="max_age_hours" tableColumnId="5"/>
      <queryTableField id="6" name="max_target_time" tableColumnId="6"/>
      <queryTableField id="7" name="stations" tableColumnId="7"/>
      <queryTableField id="8" name="max_bikes_available" tableColumnId="8"/>
      <queryTableField id="9" name="avg_age_minutes" tableColumnId="9"/>
      <queryTableField id="10" name="max_age_minutes" tableColumnId="10"/>
      <queryTableField id="11" name="error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5F03F5C-A984-7342-A1BD-7C3BCD19DAF4}" autoFormatId="16" applyNumberFormats="0" applyBorderFormats="0" applyFontFormats="0" applyPatternFormats="0" applyAlignmentFormats="0" applyWidthHeightFormats="0">
  <queryTableRefresh nextId="10">
    <queryTableFields count="9">
      <queryTableField id="1" name="system_id" tableColumnId="1"/>
      <queryTableField id="2" name="start_date" tableColumnId="2"/>
      <queryTableField id="3" name="end_date" tableColumnId="3"/>
      <queryTableField id="4" name="stations" tableColumnId="4"/>
      <queryTableField id="5" name="observations" tableColumnId="5"/>
      <queryTableField id="6" name="fleet_estimate_delta_initial" tableColumnId="6"/>
      <queryTableField id="7" name="fleet_estimate_delta_final" tableColumnId="7"/>
      <queryTableField id="8" name="net_delta" tableColumnId="8"/>
      <queryTableField id="9" name="error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5C9DFDE-B582-044B-A15C-95D4F8B147E2}" autoFormatId="16" applyNumberFormats="0" applyBorderFormats="0" applyFontFormats="0" applyPatternFormats="0" applyAlignmentFormats="0" applyWidthHeightFormats="0">
  <queryTableRefresh nextId="13">
    <queryTableFields count="12">
      <queryTableField id="1" name="system_id" tableColumnId="1"/>
      <queryTableField id="2" name="start_date" tableColumnId="2"/>
      <queryTableField id="3" name="end_date" tableColumnId="3"/>
      <queryTableField id="4" name="days" tableColumnId="4"/>
      <queryTableField id="5" name="stations" tableColumnId="5"/>
      <queryTableField id="6" name="observations" tableColumnId="6"/>
      <queryTableField id="7" name="estimated_total_trips_departures" tableColumnId="7"/>
      <queryTableField id="8" name="estimated_total_trips_arrivals" tableColumnId="8"/>
      <queryTableField id="9" name="estimated_total_trips_half_movements" tableColumnId="9"/>
      <queryTableField id="10" name="estimated_trips_per_day_departures" tableColumnId="10"/>
      <queryTableField id="11" name="estimated_trips_per_station_per_day_departures" tableColumnId="11"/>
      <queryTableField id="12" name="error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4A24D8BF-8DD9-F045-9398-0103765BC798}" autoFormatId="16" applyNumberFormats="0" applyBorderFormats="0" applyFontFormats="0" applyPatternFormats="0" applyAlignmentFormats="0" applyWidthHeightFormats="0">
  <queryTableRefresh nextId="7">
    <queryTableFields count="6">
      <queryTableField id="1" name="system_id" tableColumnId="1"/>
      <queryTableField id="2" name="total_trips" tableColumnId="2"/>
      <queryTableField id="3" name="days" tableColumnId="3"/>
      <queryTableField id="4" name="stations" tableColumnId="4"/>
      <queryTableField id="5" name="trips_per_day" tableColumnId="5"/>
      <queryTableField id="6" name="trips_per_station_per_day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1FE777E-9267-C240-B9C4-36864CE598F9}" autoFormatId="16" applyNumberFormats="0" applyBorderFormats="0" applyFontFormats="0" applyPatternFormats="0" applyAlignmentFormats="0" applyWidthHeightFormats="0">
  <queryTableRefresh nextId="5">
    <queryTableFields count="4">
      <queryTableField id="1" name="system_id" tableColumnId="1"/>
      <queryTableField id="2" name="bike_id_column" tableColumnId="2"/>
      <queryTableField id="3" name="unique_bike_ids" tableColumnId="3"/>
      <queryTableField id="4" name="rows_analyzed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F26BF061-74F0-2F46-ADFF-770971B69077}" autoFormatId="16" applyNumberFormats="0" applyBorderFormats="0" applyFontFormats="0" applyPatternFormats="0" applyAlignmentFormats="0" applyWidthHeightFormats="0">
  <queryTableRefresh nextId="4">
    <queryTableFields count="3">
      <queryTableField id="1" name="system_id" tableColumnId="1"/>
      <queryTableField id="2" name="stations" tableColumnId="2"/>
      <queryTableField id="3" name="total_station_capacit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D90864-55C4-0442-8929-DF8420EFCCB1}" name="system_metrics_2025_05_to_10" displayName="system_metrics_2025_05_to_10" ref="A1:I11" tableType="queryTable" totalsRowShown="0">
  <autoFilter ref="A1:I11" xr:uid="{DCD90864-55C4-0442-8929-DF8420EFCCB1}"/>
  <sortState xmlns:xlrd2="http://schemas.microsoft.com/office/spreadsheetml/2017/richdata2" ref="A2:I11">
    <sortCondition ref="B1:B11"/>
  </sortState>
  <tableColumns count="9">
    <tableColumn id="1" xr3:uid="{9D7A80AF-BE24-4042-8F23-6CB9EAF55717}" uniqueName="1" name="system_id" queryTableFieldId="1" dataDxfId="24"/>
    <tableColumn id="8" xr3:uid="{9BDC8A93-61BA-704B-8285-18A0BD52434A}" uniqueName="8" name="City" queryTableFieldId="7" dataDxfId="23"/>
    <tableColumn id="2" xr3:uid="{C4AC57DD-74E2-384A-81D8-C74179695477}" uniqueName="2" name="total_trips" queryTableFieldId="2" dataDxfId="22"/>
    <tableColumn id="3" xr3:uid="{22068B8A-78E3-484D-A3E1-4658814F3700}" uniqueName="3" name="days" queryTableFieldId="3" dataDxfId="21"/>
    <tableColumn id="9" xr3:uid="{C09E40DD-11BE-D241-B7AE-994D0B7C9C9D}" uniqueName="9" name="Nombre de borne disponible" queryTableFieldId="9" dataDxfId="20"/>
    <tableColumn id="7" xr3:uid="{034492EA-77B6-7E40-8366-25D875FEE612}" uniqueName="7" name="Number of Bike" queryTableFieldId="8" dataDxfId="19"/>
    <tableColumn id="4" xr3:uid="{E5AF4D54-94F7-0D43-B482-8F90FED11C4E}" uniqueName="4" name="stations" queryTableFieldId="4" dataDxfId="18"/>
    <tableColumn id="5" xr3:uid="{2BF9568D-9149-CA41-B244-8A665C79C41C}" uniqueName="5" name="trips_per_day" queryTableFieldId="5" dataDxfId="17"/>
    <tableColumn id="6" xr3:uid="{E0A7C06F-46C4-634D-86EF-6650EB99DB44}" uniqueName="6" name="trips_per_station_per_day" queryTableFieldId="6" data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6CAEA6E-B33A-4F4F-AADC-5FDA3C60182F}" name="max_bikes_available_last_snapshot_2025_05_01_to_2025_10_31_1h_interval_24h_max_a" displayName="max_bikes_available_last_snapshot_2025_05_01_to_2025_10_31_1h_interval_24h_max_a" ref="A1:K77" tableType="queryTable" totalsRowShown="0">
  <autoFilter ref="A1:K77" xr:uid="{E6CAEA6E-B33A-4F4F-AADC-5FDA3C60182F}"/>
  <tableColumns count="11">
    <tableColumn id="1" xr3:uid="{A5B81F3D-CDE6-6041-82F1-396530748D4B}" uniqueName="1" name="system_id" queryTableFieldId="1" dataDxfId="15"/>
    <tableColumn id="2" xr3:uid="{319D4FE5-07B0-5746-B889-635DBB17D633}" uniqueName="2" name="start_date" queryTableFieldId="2" dataDxfId="14"/>
    <tableColumn id="3" xr3:uid="{D3E75690-7155-5B44-98CF-39F6B53F841F}" uniqueName="3" name="end_date" queryTableFieldId="3" dataDxfId="13"/>
    <tableColumn id="4" xr3:uid="{1985E3F3-000A-A043-94B3-09D0A3AF5097}" uniqueName="4" name="interval_hours" queryTableFieldId="4"/>
    <tableColumn id="5" xr3:uid="{8DD8F3E5-0E4B-4C4D-8413-767772BA67E3}" uniqueName="5" name="max_age_hours" queryTableFieldId="5"/>
    <tableColumn id="6" xr3:uid="{9E38DA27-B5C0-1743-9C41-958364037128}" uniqueName="6" name="max_target_time" queryTableFieldId="6" dataDxfId="12"/>
    <tableColumn id="7" xr3:uid="{61FE6B62-17CE-7E43-A3D5-4C4F226C2FB3}" uniqueName="7" name="stations" queryTableFieldId="7"/>
    <tableColumn id="8" xr3:uid="{6EFB6A72-AFCD-6048-A653-C086FE7E23F6}" uniqueName="8" name="max_bikes_available" queryTableFieldId="8"/>
    <tableColumn id="9" xr3:uid="{348B01EF-AA77-9149-95C4-852AC34F5E25}" uniqueName="9" name="avg_age_minutes" queryTableFieldId="9"/>
    <tableColumn id="10" xr3:uid="{9EC3ABEE-7C47-6048-A64F-AEBFCE4626B7}" uniqueName="10" name="max_age_minutes" queryTableFieldId="10"/>
    <tableColumn id="11" xr3:uid="{2F0DD2F5-BE76-C642-B0BC-73A21B006DCB}" uniqueName="11" name="error" queryTableFieldId="11" dataDxf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2EDC6E9-5ECA-A042-9587-343D018A6578}" name="fleet_estimate_delta_algo_2025_05_01_to_2025_10_31" displayName="fleet_estimate_delta_algo_2025_05_01_to_2025_10_31" ref="A1:I77" tableType="queryTable" totalsRowShown="0">
  <autoFilter ref="A1:I77" xr:uid="{42EDC6E9-5ECA-A042-9587-343D018A6578}"/>
  <tableColumns count="9">
    <tableColumn id="1" xr3:uid="{EB605FD7-7A39-4249-B1E5-B79F399833C1}" uniqueName="1" name="system_id" queryTableFieldId="1" dataDxfId="10"/>
    <tableColumn id="2" xr3:uid="{C94F15A1-F602-9845-AC55-AEB5410FEFFE}" uniqueName="2" name="start_date" queryTableFieldId="2" dataDxfId="9"/>
    <tableColumn id="3" xr3:uid="{D0598462-7186-5A48-90BC-BDF787168F84}" uniqueName="3" name="end_date" queryTableFieldId="3" dataDxfId="8"/>
    <tableColumn id="4" xr3:uid="{4935E4AA-EAC6-0941-ACE8-CBE327124C92}" uniqueName="4" name="stations" queryTableFieldId="4"/>
    <tableColumn id="5" xr3:uid="{4A3BBC42-831C-BA43-8DCC-35E63221E436}" uniqueName="5" name="observations" queryTableFieldId="5"/>
    <tableColumn id="6" xr3:uid="{D083F55B-010B-974A-B3F8-A04A6F38DA46}" uniqueName="6" name="fleet_estimate_delta_initial" queryTableFieldId="6"/>
    <tableColumn id="7" xr3:uid="{AF8DABD1-FFF0-8244-8FC3-CE74EE1DC4CD}" uniqueName="7" name="fleet_estimate_delta_final" queryTableFieldId="7"/>
    <tableColumn id="8" xr3:uid="{8301EE06-6E6F-BC4C-AB85-AB75A1CB0C89}" uniqueName="8" name="net_delta" queryTableFieldId="8"/>
    <tableColumn id="9" xr3:uid="{A916AE17-5E65-8445-8570-A0C3CF70F0D6}" uniqueName="9" name="error" queryTableFieldId="9" dataDxf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DF6C5C4-D1CF-A841-8D42-8339CC91E0F5}" name="estimated_trips_from_maxhalford_2025_05_01_to_2025_10_31" displayName="estimated_trips_from_maxhalford_2025_05_01_to_2025_10_31" ref="A1:L77" tableType="queryTable" totalsRowShown="0">
  <autoFilter ref="A1:L77" xr:uid="{BDF6C5C4-D1CF-A841-8D42-8339CC91E0F5}"/>
  <tableColumns count="12">
    <tableColumn id="1" xr3:uid="{6061B2F0-4E4A-8B48-BA89-D6AFC029B24D}" uniqueName="1" name="system_id" queryTableFieldId="1" dataDxfId="28"/>
    <tableColumn id="2" xr3:uid="{9FA256E7-1344-B744-9719-0BCAA53CAEC0}" uniqueName="2" name="start_date" queryTableFieldId="2" dataDxfId="27"/>
    <tableColumn id="3" xr3:uid="{54AA6815-B0CC-BF4E-A564-98F139D16A01}" uniqueName="3" name="end_date" queryTableFieldId="3" dataDxfId="26"/>
    <tableColumn id="4" xr3:uid="{CFE585CA-C28E-3641-B1A8-15BB0E5B7479}" uniqueName="4" name="days" queryTableFieldId="4"/>
    <tableColumn id="5" xr3:uid="{C543CD49-6556-3349-AB35-6888FEFA4CE0}" uniqueName="5" name="stations" queryTableFieldId="5"/>
    <tableColumn id="6" xr3:uid="{F1A83750-EBDB-DF4F-A5F9-382DCDDAE141}" uniqueName="6" name="observations" queryTableFieldId="6"/>
    <tableColumn id="7" xr3:uid="{EC5262AE-03D4-7845-B216-0B8E1D03D1D5}" uniqueName="7" name="estimated_total_trips_departures" queryTableFieldId="7"/>
    <tableColumn id="8" xr3:uid="{58751C12-EF3E-DB43-BFB2-990F14FAFB90}" uniqueName="8" name="estimated_total_trips_arrivals" queryTableFieldId="8"/>
    <tableColumn id="9" xr3:uid="{F2D4C6EF-95DE-E249-A103-164AE3A431F3}" uniqueName="9" name="estimated_total_trips_half_movements" queryTableFieldId="9"/>
    <tableColumn id="10" xr3:uid="{E1D6B7BD-7B30-8441-8705-A2710FD648A1}" uniqueName="10" name="estimated_trips_per_day_departures" queryTableFieldId="10"/>
    <tableColumn id="11" xr3:uid="{3144F728-D348-6740-9220-5FC8AEE176E8}" uniqueName="11" name="estimated_trips_per_station_per_day_departures" queryTableFieldId="11"/>
    <tableColumn id="12" xr3:uid="{56B37071-04FA-E14F-8E20-33F263775A96}" uniqueName="12" name="error" queryTableFieldId="12" dataDxfId="2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B93729-5DA1-2C4F-89D4-18B69A0E7365}" name="system_metrics_2025_05_to_10__3" displayName="system_metrics_2025_05_to_10__3" ref="A1:F12" tableType="queryTable" totalsRowShown="0">
  <autoFilter ref="A1:F12" xr:uid="{71B93729-5DA1-2C4F-89D4-18B69A0E7365}"/>
  <tableColumns count="6">
    <tableColumn id="1" xr3:uid="{85D2F548-734A-C440-9373-12F3FFCC3E04}" uniqueName="1" name="system_id" queryTableFieldId="1" dataDxfId="6"/>
    <tableColumn id="2" xr3:uid="{1421B8F3-B736-1A40-BC97-083238D98B84}" uniqueName="2" name="total_trips" queryTableFieldId="2" dataDxfId="5"/>
    <tableColumn id="3" xr3:uid="{8C53CE23-A6B7-7E4D-8E4C-E49DE23904BD}" uniqueName="3" name="days" queryTableFieldId="3" dataDxfId="4"/>
    <tableColumn id="4" xr3:uid="{C59947BD-63CC-1642-97CB-505E98790C39}" uniqueName="4" name="stations" queryTableFieldId="4" dataDxfId="3"/>
    <tableColumn id="5" xr3:uid="{2F7ACE2D-1DE6-DB45-9320-7AB39102BE95}" uniqueName="5" name="trips_per_day" queryTableFieldId="5"/>
    <tableColumn id="6" xr3:uid="{AC1B760B-2E39-D146-BE66-C24D0DE325C7}" uniqueName="6" name="trips_per_station_per_day" queryTableField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B8880A-7DFD-4745-B460-6CBB1FA0041F}" name="bike_id_fleet_estimates__2" displayName="bike_id_fleet_estimates__2" ref="A1:D5" tableType="queryTable" totalsRowShown="0">
  <autoFilter ref="A1:D5" xr:uid="{F2B8880A-7DFD-4745-B460-6CBB1FA0041F}"/>
  <tableColumns count="4">
    <tableColumn id="1" xr3:uid="{EBF67AE1-1726-7943-88BA-CCBFB5AE4087}" uniqueName="1" name="system_id" queryTableFieldId="1" dataDxfId="2"/>
    <tableColumn id="2" xr3:uid="{48F1B34E-8685-A641-98B9-8D0BFAA4145E}" uniqueName="2" name="bike_id_column" queryTableFieldId="2" dataDxfId="1"/>
    <tableColumn id="3" xr3:uid="{23D8A40D-CB82-B543-B9AF-C8E7A0255655}" uniqueName="3" name="unique_bike_ids" queryTableFieldId="3"/>
    <tableColumn id="4" xr3:uid="{C52DB8CA-CF4F-7240-AFBF-1E170090B0A6}" uniqueName="4" name="rows_analyzed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2710AB2-B49B-D84C-80F5-264805F1CF15}" name="maxhalford_capacity_estimates__2" displayName="maxhalford_capacity_estimates__2" ref="A1:C9" tableType="queryTable" totalsRowShown="0">
  <autoFilter ref="A1:C9" xr:uid="{12710AB2-B49B-D84C-80F5-264805F1CF15}"/>
  <tableColumns count="3">
    <tableColumn id="1" xr3:uid="{3909EEF4-1532-C54A-A15B-B061916F239D}" uniqueName="1" name="system_id" queryTableFieldId="1" dataDxfId="0"/>
    <tableColumn id="2" xr3:uid="{9C878578-067D-8442-8D76-070C8CB1EAAB}" uniqueName="2" name="stations" queryTableFieldId="2"/>
    <tableColumn id="3" xr3:uid="{B66729A7-5E6E-8F4C-8362-1A5F50BA52D1}" uniqueName="3" name="total_station_capacity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lyft.com/blog/posts/citi-bike-electrical-infrastructure-ebike-bo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72046-C63A-6245-9E7A-0B23F245D58C}">
  <dimension ref="A1:I18"/>
  <sheetViews>
    <sheetView tabSelected="1" zoomScale="200" zoomScaleNormal="200" workbookViewId="0">
      <selection activeCell="F18" sqref="F18"/>
    </sheetView>
  </sheetViews>
  <sheetFormatPr baseColWidth="10" defaultRowHeight="16" x14ac:dyDescent="0.2"/>
  <cols>
    <col min="1" max="1" width="16.33203125" bestFit="1" customWidth="1"/>
    <col min="2" max="2" width="18" bestFit="1" customWidth="1"/>
    <col min="3" max="3" width="12.1640625" bestFit="1" customWidth="1"/>
    <col min="4" max="4" width="7.5" bestFit="1" customWidth="1"/>
    <col min="5" max="5" width="26.83203125" bestFit="1" customWidth="1"/>
    <col min="6" max="6" width="16.33203125" bestFit="1" customWidth="1"/>
    <col min="7" max="7" width="10.5" bestFit="1" customWidth="1"/>
    <col min="8" max="8" width="14.6640625" bestFit="1" customWidth="1"/>
    <col min="9" max="9" width="25.1640625" bestFit="1" customWidth="1"/>
  </cols>
  <sheetData>
    <row r="1" spans="1:9" x14ac:dyDescent="0.2">
      <c r="A1" t="s">
        <v>0</v>
      </c>
      <c r="B1" t="s">
        <v>6</v>
      </c>
      <c r="C1" t="s">
        <v>1</v>
      </c>
      <c r="D1" t="s">
        <v>2</v>
      </c>
      <c r="E1" t="s">
        <v>37</v>
      </c>
      <c r="F1" t="s">
        <v>36</v>
      </c>
      <c r="G1" t="s">
        <v>3</v>
      </c>
      <c r="H1" t="s">
        <v>4</v>
      </c>
      <c r="I1" t="s">
        <v>5</v>
      </c>
    </row>
    <row r="2" spans="1:9" hidden="1" x14ac:dyDescent="0.2">
      <c r="A2" t="s">
        <v>21</v>
      </c>
      <c r="B2" t="s">
        <v>11</v>
      </c>
      <c r="C2" s="1">
        <v>3107033</v>
      </c>
      <c r="D2" s="1">
        <v>184</v>
      </c>
      <c r="E2" s="1">
        <v>10563</v>
      </c>
      <c r="F2" s="1"/>
      <c r="G2" s="1">
        <v>602</v>
      </c>
      <c r="H2">
        <v>16886.05</v>
      </c>
      <c r="I2">
        <v>28.05</v>
      </c>
    </row>
    <row r="3" spans="1:9" x14ac:dyDescent="0.2">
      <c r="A3" t="s">
        <v>22</v>
      </c>
      <c r="B3" t="s">
        <v>23</v>
      </c>
      <c r="C3" s="1">
        <v>3632109</v>
      </c>
      <c r="D3" s="1">
        <v>184</v>
      </c>
      <c r="E3" s="1">
        <v>23586</v>
      </c>
      <c r="F3" s="1">
        <v>6682</v>
      </c>
      <c r="G3" s="1">
        <v>1764</v>
      </c>
      <c r="H3">
        <v>19739.72</v>
      </c>
      <c r="I3">
        <v>11.19</v>
      </c>
    </row>
    <row r="4" spans="1:9" hidden="1" x14ac:dyDescent="0.2">
      <c r="A4" t="s">
        <v>17</v>
      </c>
      <c r="B4" t="s">
        <v>16</v>
      </c>
      <c r="C4" s="1">
        <v>245340</v>
      </c>
      <c r="D4" s="1">
        <v>184</v>
      </c>
      <c r="E4" s="1"/>
      <c r="F4" s="1">
        <v>1746</v>
      </c>
      <c r="G4">
        <v>234</v>
      </c>
      <c r="H4">
        <v>1333.37</v>
      </c>
      <c r="I4">
        <v>5.7</v>
      </c>
    </row>
    <row r="5" spans="1:9" x14ac:dyDescent="0.2">
      <c r="A5" t="s">
        <v>20</v>
      </c>
      <c r="B5" t="s">
        <v>7</v>
      </c>
      <c r="C5" s="1">
        <v>9972891</v>
      </c>
      <c r="D5" s="1">
        <v>184</v>
      </c>
      <c r="E5" s="1">
        <v>18226</v>
      </c>
      <c r="F5" s="1">
        <v>5855</v>
      </c>
      <c r="G5" s="1">
        <v>678</v>
      </c>
      <c r="H5">
        <v>54200.49</v>
      </c>
      <c r="I5">
        <v>79.94</v>
      </c>
    </row>
    <row r="6" spans="1:9" x14ac:dyDescent="0.2">
      <c r="A6" t="s">
        <v>19</v>
      </c>
      <c r="B6" t="s">
        <v>8</v>
      </c>
      <c r="C6" s="1">
        <v>12304009</v>
      </c>
      <c r="D6" s="1">
        <v>184</v>
      </c>
      <c r="E6" s="1">
        <v>26840</v>
      </c>
      <c r="F6" s="1">
        <v>10651</v>
      </c>
      <c r="G6" s="1">
        <v>1222</v>
      </c>
      <c r="H6">
        <v>66869.61</v>
      </c>
      <c r="I6">
        <v>54.72</v>
      </c>
    </row>
    <row r="7" spans="1:9" x14ac:dyDescent="0.2">
      <c r="A7" t="s">
        <v>18</v>
      </c>
      <c r="B7" t="s">
        <v>45</v>
      </c>
      <c r="C7" s="1">
        <v>29838099</v>
      </c>
      <c r="D7" s="1">
        <v>184</v>
      </c>
      <c r="E7" s="1">
        <v>74081</v>
      </c>
      <c r="F7" s="1">
        <v>36607</v>
      </c>
      <c r="G7" s="1">
        <v>2301</v>
      </c>
      <c r="H7">
        <v>162163.57999999999</v>
      </c>
      <c r="I7">
        <v>70.47</v>
      </c>
    </row>
    <row r="8" spans="1:9" x14ac:dyDescent="0.2">
      <c r="A8" t="s">
        <v>25</v>
      </c>
      <c r="B8" t="s">
        <v>24</v>
      </c>
      <c r="C8" s="1">
        <v>872942</v>
      </c>
      <c r="D8" s="1">
        <v>184</v>
      </c>
      <c r="E8" s="1">
        <v>5424</v>
      </c>
      <c r="F8" s="1">
        <v>1901</v>
      </c>
      <c r="G8" s="1">
        <v>286</v>
      </c>
      <c r="H8">
        <v>4744.25</v>
      </c>
      <c r="I8">
        <v>16.59</v>
      </c>
    </row>
    <row r="9" spans="1:9" x14ac:dyDescent="0.2">
      <c r="A9" t="s">
        <v>14</v>
      </c>
      <c r="B9" t="s">
        <v>15</v>
      </c>
      <c r="C9" s="1">
        <v>2472899</v>
      </c>
      <c r="D9" s="1">
        <v>184</v>
      </c>
      <c r="E9" s="1">
        <v>14067</v>
      </c>
      <c r="F9" s="1">
        <v>5968</v>
      </c>
      <c r="G9" s="1">
        <v>627</v>
      </c>
      <c r="H9">
        <v>13439.67</v>
      </c>
      <c r="I9">
        <v>21.43</v>
      </c>
    </row>
    <row r="10" spans="1:9" x14ac:dyDescent="0.2">
      <c r="A10" t="s">
        <v>9</v>
      </c>
      <c r="B10" t="s">
        <v>10</v>
      </c>
      <c r="C10" s="1">
        <v>5959086</v>
      </c>
      <c r="D10" s="1">
        <v>184</v>
      </c>
      <c r="E10" s="1">
        <v>19636</v>
      </c>
      <c r="F10" s="1">
        <v>7355</v>
      </c>
      <c r="G10" s="1">
        <v>1026</v>
      </c>
      <c r="H10">
        <v>32386.34</v>
      </c>
      <c r="I10">
        <v>31.57</v>
      </c>
    </row>
    <row r="11" spans="1:9" x14ac:dyDescent="0.2">
      <c r="A11" t="s">
        <v>12</v>
      </c>
      <c r="B11" t="s">
        <v>13</v>
      </c>
      <c r="C11" s="1">
        <v>3423252</v>
      </c>
      <c r="D11" s="1">
        <v>184</v>
      </c>
      <c r="E11" s="1">
        <v>14991</v>
      </c>
      <c r="F11" s="1">
        <v>6397</v>
      </c>
      <c r="G11" s="1">
        <v>832</v>
      </c>
      <c r="H11">
        <v>18604.63</v>
      </c>
      <c r="I11">
        <v>22.36</v>
      </c>
    </row>
    <row r="18" spans="1:1" x14ac:dyDescent="0.2">
      <c r="A18" s="4" t="s">
        <v>50</v>
      </c>
    </row>
  </sheetData>
  <hyperlinks>
    <hyperlink ref="A18" r:id="rId1" xr:uid="{F1E7DF8B-4ABE-3445-9DF5-0AF824ABD3AC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826F7-ED0D-E843-ADEF-0B141CE62FB7}">
  <dimension ref="A1:K77"/>
  <sheetViews>
    <sheetView workbookViewId="0">
      <selection activeCell="F65" sqref="F65"/>
    </sheetView>
  </sheetViews>
  <sheetFormatPr baseColWidth="10" defaultRowHeight="16" x14ac:dyDescent="0.2"/>
  <cols>
    <col min="1" max="1" width="31.1640625" bestFit="1" customWidth="1"/>
    <col min="2" max="2" width="12.1640625" bestFit="1" customWidth="1"/>
    <col min="3" max="3" width="11.1640625" bestFit="1" customWidth="1"/>
    <col min="4" max="4" width="15.33203125" bestFit="1" customWidth="1"/>
    <col min="5" max="5" width="16.5" bestFit="1" customWidth="1"/>
    <col min="6" max="6" width="17.6640625" bestFit="1" customWidth="1"/>
    <col min="7" max="7" width="10.5" bestFit="1" customWidth="1"/>
    <col min="8" max="8" width="20.83203125" bestFit="1" customWidth="1"/>
    <col min="9" max="9" width="18" bestFit="1" customWidth="1"/>
    <col min="10" max="10" width="18.83203125" bestFit="1" customWidth="1"/>
    <col min="11" max="11" width="80.6640625" bestFit="1" customWidth="1"/>
  </cols>
  <sheetData>
    <row r="1" spans="1:11" x14ac:dyDescent="0.2">
      <c r="A1" t="s">
        <v>0</v>
      </c>
      <c r="B1" t="s">
        <v>127</v>
      </c>
      <c r="C1" t="s">
        <v>128</v>
      </c>
      <c r="D1" t="s">
        <v>131</v>
      </c>
      <c r="E1" t="s">
        <v>132</v>
      </c>
      <c r="F1" t="s">
        <v>130</v>
      </c>
      <c r="G1" t="s">
        <v>3</v>
      </c>
      <c r="H1" t="s">
        <v>129</v>
      </c>
      <c r="I1" t="s">
        <v>133</v>
      </c>
      <c r="J1" t="s">
        <v>134</v>
      </c>
      <c r="K1" t="s">
        <v>135</v>
      </c>
    </row>
    <row r="2" spans="1:11" x14ac:dyDescent="0.2">
      <c r="A2" t="s">
        <v>51</v>
      </c>
      <c r="B2" s="5">
        <v>45778</v>
      </c>
      <c r="C2" s="5">
        <v>45961</v>
      </c>
      <c r="D2">
        <v>1</v>
      </c>
      <c r="E2">
        <v>24</v>
      </c>
      <c r="F2" s="6">
        <v>45807.875</v>
      </c>
      <c r="G2">
        <v>249</v>
      </c>
      <c r="H2">
        <v>1773</v>
      </c>
      <c r="I2">
        <v>232.60836680053546</v>
      </c>
      <c r="J2">
        <v>1317.95</v>
      </c>
      <c r="K2" t="s">
        <v>136</v>
      </c>
    </row>
    <row r="3" spans="1:11" x14ac:dyDescent="0.2">
      <c r="A3" t="s">
        <v>52</v>
      </c>
      <c r="B3" s="5">
        <v>45778</v>
      </c>
      <c r="C3" s="5">
        <v>45961</v>
      </c>
      <c r="D3">
        <v>1</v>
      </c>
      <c r="E3">
        <v>24</v>
      </c>
      <c r="F3" s="6">
        <v>45782.125</v>
      </c>
      <c r="G3">
        <v>396</v>
      </c>
      <c r="H3">
        <v>2486</v>
      </c>
      <c r="I3">
        <v>402.73354377104374</v>
      </c>
      <c r="J3">
        <v>1416.5166666666667</v>
      </c>
      <c r="K3" t="s">
        <v>136</v>
      </c>
    </row>
    <row r="4" spans="1:11" x14ac:dyDescent="0.2">
      <c r="A4" t="s">
        <v>53</v>
      </c>
      <c r="B4" s="5">
        <v>45778</v>
      </c>
      <c r="C4" s="5">
        <v>45961</v>
      </c>
      <c r="D4">
        <v>1</v>
      </c>
      <c r="E4">
        <v>24</v>
      </c>
      <c r="F4" s="6">
        <v>45959.041666666664</v>
      </c>
      <c r="G4">
        <v>261</v>
      </c>
      <c r="H4">
        <v>3697</v>
      </c>
      <c r="I4">
        <v>365.37899106002556</v>
      </c>
      <c r="J4">
        <v>771.51666666666665</v>
      </c>
      <c r="K4" t="s">
        <v>136</v>
      </c>
    </row>
    <row r="5" spans="1:11" x14ac:dyDescent="0.2">
      <c r="A5" t="s">
        <v>54</v>
      </c>
      <c r="B5" s="5">
        <v>45778</v>
      </c>
      <c r="C5" s="5">
        <v>45961</v>
      </c>
      <c r="D5">
        <v>1</v>
      </c>
      <c r="E5">
        <v>24</v>
      </c>
      <c r="F5" s="6">
        <v>45959.041666666664</v>
      </c>
      <c r="G5">
        <v>247</v>
      </c>
      <c r="H5">
        <v>3183</v>
      </c>
      <c r="I5">
        <v>650.19939271255066</v>
      </c>
      <c r="J5">
        <v>771.51666666666665</v>
      </c>
      <c r="K5" t="s">
        <v>136</v>
      </c>
    </row>
    <row r="6" spans="1:11" x14ac:dyDescent="0.2">
      <c r="A6" t="s">
        <v>55</v>
      </c>
      <c r="B6" s="5">
        <v>45778</v>
      </c>
      <c r="C6" s="5">
        <v>45961</v>
      </c>
      <c r="D6">
        <v>1</v>
      </c>
      <c r="E6">
        <v>24</v>
      </c>
      <c r="F6" s="6">
        <v>45801.041666666664</v>
      </c>
      <c r="G6">
        <v>314</v>
      </c>
      <c r="H6">
        <v>4256</v>
      </c>
      <c r="I6">
        <v>131.63062632696389</v>
      </c>
      <c r="J6">
        <v>772.45</v>
      </c>
      <c r="K6" t="s">
        <v>136</v>
      </c>
    </row>
    <row r="7" spans="1:11" x14ac:dyDescent="0.2">
      <c r="A7" t="s">
        <v>56</v>
      </c>
      <c r="B7" s="5">
        <v>45778</v>
      </c>
      <c r="C7" s="5">
        <v>45961</v>
      </c>
      <c r="D7">
        <v>1</v>
      </c>
      <c r="E7">
        <v>24</v>
      </c>
      <c r="F7" s="6">
        <v>45778.041666666664</v>
      </c>
      <c r="G7">
        <v>348</v>
      </c>
      <c r="H7">
        <v>3781</v>
      </c>
      <c r="I7">
        <v>224.61182950191571</v>
      </c>
      <c r="J7">
        <v>268.88333333333333</v>
      </c>
      <c r="K7" t="s">
        <v>136</v>
      </c>
    </row>
    <row r="8" spans="1:11" x14ac:dyDescent="0.2">
      <c r="A8" t="s">
        <v>57</v>
      </c>
      <c r="B8" s="5">
        <v>45778</v>
      </c>
      <c r="C8" s="5">
        <v>45961</v>
      </c>
      <c r="D8">
        <v>1</v>
      </c>
      <c r="E8">
        <v>24</v>
      </c>
      <c r="F8" s="6">
        <v>45958.541666666664</v>
      </c>
      <c r="G8">
        <v>27</v>
      </c>
      <c r="H8">
        <v>214</v>
      </c>
      <c r="I8">
        <v>50.21913580246914</v>
      </c>
      <c r="J8">
        <v>51.516666666666666</v>
      </c>
      <c r="K8" t="s">
        <v>136</v>
      </c>
    </row>
    <row r="9" spans="1:11" x14ac:dyDescent="0.2">
      <c r="A9" t="s">
        <v>58</v>
      </c>
      <c r="B9" s="5">
        <v>45778</v>
      </c>
      <c r="C9" s="5">
        <v>45961</v>
      </c>
      <c r="D9">
        <v>1</v>
      </c>
      <c r="E9">
        <v>24</v>
      </c>
      <c r="F9" s="6">
        <v>45959.041666666664</v>
      </c>
      <c r="G9">
        <v>90</v>
      </c>
      <c r="H9">
        <v>535</v>
      </c>
      <c r="I9">
        <v>463.61185185185184</v>
      </c>
      <c r="J9">
        <v>771.51666666666665</v>
      </c>
      <c r="K9" t="s">
        <v>136</v>
      </c>
    </row>
    <row r="10" spans="1:11" x14ac:dyDescent="0.2">
      <c r="A10" t="s">
        <v>59</v>
      </c>
      <c r="B10" s="5">
        <v>45778</v>
      </c>
      <c r="C10" s="5">
        <v>45961</v>
      </c>
      <c r="D10">
        <v>1</v>
      </c>
      <c r="E10">
        <v>24</v>
      </c>
      <c r="F10" s="6">
        <v>45802.125</v>
      </c>
      <c r="G10">
        <v>403</v>
      </c>
      <c r="H10">
        <v>3487</v>
      </c>
      <c r="I10">
        <v>246.65260545905707</v>
      </c>
      <c r="J10">
        <v>816.56666666666672</v>
      </c>
      <c r="K10" t="s">
        <v>136</v>
      </c>
    </row>
    <row r="11" spans="1:11" x14ac:dyDescent="0.2">
      <c r="A11" t="s">
        <v>60</v>
      </c>
      <c r="B11" s="5">
        <v>45778</v>
      </c>
      <c r="C11" s="5">
        <v>45961</v>
      </c>
      <c r="D11">
        <v>1</v>
      </c>
      <c r="E11">
        <v>24</v>
      </c>
      <c r="F11" s="6">
        <v>45959.083333333336</v>
      </c>
      <c r="G11">
        <v>200</v>
      </c>
      <c r="H11">
        <v>1967</v>
      </c>
      <c r="I11">
        <v>306.12541666666669</v>
      </c>
      <c r="J11">
        <v>831.51666666666665</v>
      </c>
      <c r="K11" t="s">
        <v>136</v>
      </c>
    </row>
    <row r="12" spans="1:11" x14ac:dyDescent="0.2">
      <c r="A12" t="s">
        <v>61</v>
      </c>
      <c r="B12" s="5">
        <v>45778</v>
      </c>
      <c r="C12" s="5">
        <v>45961</v>
      </c>
      <c r="D12">
        <v>1</v>
      </c>
      <c r="E12">
        <v>24</v>
      </c>
      <c r="F12" s="6">
        <v>45778.291666666664</v>
      </c>
      <c r="G12">
        <v>241</v>
      </c>
      <c r="H12">
        <v>1763</v>
      </c>
      <c r="I12">
        <v>327.66804979253112</v>
      </c>
      <c r="J12">
        <v>628.88333333333333</v>
      </c>
      <c r="K12" t="s">
        <v>136</v>
      </c>
    </row>
    <row r="13" spans="1:11" x14ac:dyDescent="0.2">
      <c r="A13" t="s">
        <v>62</v>
      </c>
      <c r="B13" s="5">
        <v>45778</v>
      </c>
      <c r="C13" s="5">
        <v>45961</v>
      </c>
      <c r="D13">
        <v>1</v>
      </c>
      <c r="E13">
        <v>24</v>
      </c>
      <c r="F13" s="6">
        <v>45959.208333333336</v>
      </c>
      <c r="G13">
        <v>1030</v>
      </c>
      <c r="H13">
        <v>10651</v>
      </c>
      <c r="I13">
        <v>294.53896440129449</v>
      </c>
      <c r="J13">
        <v>1011.5166666666667</v>
      </c>
      <c r="K13" t="s">
        <v>136</v>
      </c>
    </row>
    <row r="14" spans="1:11" x14ac:dyDescent="0.2">
      <c r="A14" t="s">
        <v>63</v>
      </c>
      <c r="B14" s="5">
        <v>45778</v>
      </c>
      <c r="C14" s="5">
        <v>45961</v>
      </c>
      <c r="D14">
        <v>1</v>
      </c>
      <c r="E14">
        <v>24</v>
      </c>
      <c r="F14" s="6">
        <v>45959.166666666664</v>
      </c>
      <c r="G14">
        <v>164</v>
      </c>
      <c r="H14">
        <v>1652</v>
      </c>
      <c r="I14">
        <v>239.26128048780487</v>
      </c>
      <c r="J14">
        <v>951.51666666666665</v>
      </c>
      <c r="K14" t="s">
        <v>136</v>
      </c>
    </row>
    <row r="15" spans="1:11" x14ac:dyDescent="0.2">
      <c r="A15" t="s">
        <v>64</v>
      </c>
      <c r="B15" s="5">
        <v>45778</v>
      </c>
      <c r="C15" s="5">
        <v>45961</v>
      </c>
      <c r="D15">
        <v>1</v>
      </c>
      <c r="E15">
        <v>24</v>
      </c>
      <c r="F15" s="6">
        <v>45806.25</v>
      </c>
      <c r="G15">
        <v>809</v>
      </c>
      <c r="H15">
        <v>7355</v>
      </c>
      <c r="I15">
        <v>360.37505150391434</v>
      </c>
      <c r="J15">
        <v>1414.9666666666667</v>
      </c>
      <c r="K15" t="s">
        <v>136</v>
      </c>
    </row>
    <row r="16" spans="1:11" x14ac:dyDescent="0.2">
      <c r="A16" t="s">
        <v>65</v>
      </c>
      <c r="B16" s="5">
        <v>45778</v>
      </c>
      <c r="C16" s="5">
        <v>45961</v>
      </c>
      <c r="D16">
        <v>1</v>
      </c>
      <c r="E16">
        <v>24</v>
      </c>
      <c r="F16" s="6">
        <v>45798.083333333336</v>
      </c>
      <c r="G16">
        <v>258</v>
      </c>
      <c r="H16">
        <v>2069</v>
      </c>
      <c r="I16">
        <v>152.55704134366925</v>
      </c>
      <c r="J16">
        <v>711.05</v>
      </c>
      <c r="K16" t="s">
        <v>136</v>
      </c>
    </row>
    <row r="17" spans="1:11" x14ac:dyDescent="0.2">
      <c r="A17" t="s">
        <v>66</v>
      </c>
      <c r="B17" s="5">
        <v>45778</v>
      </c>
      <c r="C17" s="5">
        <v>45961</v>
      </c>
      <c r="D17">
        <v>1</v>
      </c>
      <c r="E17">
        <v>24</v>
      </c>
      <c r="F17" s="6">
        <v>45778.291666666664</v>
      </c>
      <c r="G17">
        <v>294</v>
      </c>
      <c r="H17">
        <v>2164</v>
      </c>
      <c r="I17">
        <v>379.14880952380952</v>
      </c>
      <c r="J17">
        <v>628.88333333333333</v>
      </c>
      <c r="K17" t="s">
        <v>136</v>
      </c>
    </row>
    <row r="18" spans="1:11" x14ac:dyDescent="0.2">
      <c r="A18" t="s">
        <v>67</v>
      </c>
      <c r="B18" s="5">
        <v>45778</v>
      </c>
      <c r="C18" s="5">
        <v>45961</v>
      </c>
      <c r="D18">
        <v>1</v>
      </c>
      <c r="E18">
        <v>24</v>
      </c>
      <c r="F18" s="6">
        <v>45778.125</v>
      </c>
      <c r="G18">
        <v>296</v>
      </c>
      <c r="H18">
        <v>595</v>
      </c>
      <c r="I18">
        <v>305.08856981981984</v>
      </c>
      <c r="J18">
        <v>388.88333333333333</v>
      </c>
      <c r="K18" t="s">
        <v>136</v>
      </c>
    </row>
    <row r="19" spans="1:11" x14ac:dyDescent="0.2">
      <c r="A19" t="s">
        <v>68</v>
      </c>
      <c r="B19" s="5">
        <v>45778</v>
      </c>
      <c r="C19" s="5">
        <v>45961</v>
      </c>
      <c r="D19">
        <v>1</v>
      </c>
      <c r="E19">
        <v>24</v>
      </c>
      <c r="F19" s="6">
        <v>45792.625</v>
      </c>
      <c r="G19">
        <v>71</v>
      </c>
      <c r="H19">
        <v>152</v>
      </c>
      <c r="I19">
        <v>341.00399061032863</v>
      </c>
      <c r="J19">
        <v>1434.3</v>
      </c>
      <c r="K19" t="s">
        <v>136</v>
      </c>
    </row>
    <row r="20" spans="1:11" x14ac:dyDescent="0.2">
      <c r="A20" t="s">
        <v>69</v>
      </c>
      <c r="B20" s="5">
        <v>45778</v>
      </c>
      <c r="C20" s="5">
        <v>45961</v>
      </c>
      <c r="D20">
        <v>1</v>
      </c>
      <c r="E20">
        <v>24</v>
      </c>
      <c r="F20" s="6">
        <v>45778</v>
      </c>
      <c r="G20">
        <v>415</v>
      </c>
      <c r="H20">
        <v>1216</v>
      </c>
      <c r="I20">
        <v>193.59024096385539</v>
      </c>
      <c r="J20">
        <v>208.88333333333333</v>
      </c>
      <c r="K20" t="s">
        <v>136</v>
      </c>
    </row>
    <row r="21" spans="1:11" x14ac:dyDescent="0.2">
      <c r="A21" t="s">
        <v>70</v>
      </c>
      <c r="B21" s="5">
        <v>45778</v>
      </c>
      <c r="C21" s="5">
        <v>45961</v>
      </c>
      <c r="D21">
        <v>1</v>
      </c>
      <c r="E21">
        <v>24</v>
      </c>
      <c r="F21" s="6">
        <v>45958.875</v>
      </c>
      <c r="G21">
        <v>1150</v>
      </c>
      <c r="H21">
        <v>1292</v>
      </c>
      <c r="I21">
        <v>474.78965217391305</v>
      </c>
      <c r="J21">
        <v>531.51666666666665</v>
      </c>
      <c r="K21" t="s">
        <v>136</v>
      </c>
    </row>
    <row r="22" spans="1:11" x14ac:dyDescent="0.2">
      <c r="A22" t="s">
        <v>71</v>
      </c>
      <c r="B22" s="5">
        <v>45778</v>
      </c>
      <c r="C22" s="5">
        <v>45961</v>
      </c>
      <c r="D22">
        <v>1</v>
      </c>
      <c r="E22">
        <v>24</v>
      </c>
      <c r="F22" s="6">
        <v>45784.291666666664</v>
      </c>
      <c r="G22">
        <v>5539</v>
      </c>
      <c r="H22">
        <v>4443</v>
      </c>
      <c r="I22">
        <v>197.1632334356382</v>
      </c>
      <c r="J22">
        <v>1433.9666666666667</v>
      </c>
      <c r="K22" t="s">
        <v>136</v>
      </c>
    </row>
    <row r="23" spans="1:11" x14ac:dyDescent="0.2">
      <c r="A23" t="s">
        <v>72</v>
      </c>
      <c r="B23" s="5">
        <v>45778</v>
      </c>
      <c r="C23" s="5">
        <v>45961</v>
      </c>
      <c r="D23">
        <v>1</v>
      </c>
      <c r="E23">
        <v>24</v>
      </c>
      <c r="F23" s="6">
        <v>45959.375</v>
      </c>
      <c r="G23">
        <v>277</v>
      </c>
      <c r="H23">
        <v>431</v>
      </c>
      <c r="I23">
        <v>531.82292418772568</v>
      </c>
      <c r="J23">
        <v>1251.5166666666667</v>
      </c>
      <c r="K23" t="s">
        <v>136</v>
      </c>
    </row>
    <row r="24" spans="1:11" x14ac:dyDescent="0.2">
      <c r="A24" t="s">
        <v>73</v>
      </c>
      <c r="B24" s="5">
        <v>45778</v>
      </c>
      <c r="C24" s="5">
        <v>45961</v>
      </c>
      <c r="D24">
        <v>1</v>
      </c>
      <c r="E24">
        <v>24</v>
      </c>
      <c r="F24" s="6">
        <v>45778</v>
      </c>
      <c r="G24">
        <v>253</v>
      </c>
      <c r="H24">
        <v>495</v>
      </c>
      <c r="I24">
        <v>198.19683794466403</v>
      </c>
      <c r="J24">
        <v>208.88333333333333</v>
      </c>
      <c r="K24" t="s">
        <v>136</v>
      </c>
    </row>
    <row r="25" spans="1:11" x14ac:dyDescent="0.2">
      <c r="A25" t="s">
        <v>74</v>
      </c>
      <c r="B25" s="5">
        <v>45778</v>
      </c>
      <c r="C25" s="5">
        <v>45961</v>
      </c>
      <c r="D25">
        <v>1</v>
      </c>
      <c r="E25">
        <v>24</v>
      </c>
      <c r="F25" s="6">
        <v>45799.875</v>
      </c>
      <c r="G25">
        <v>122</v>
      </c>
      <c r="H25">
        <v>760</v>
      </c>
      <c r="I25">
        <v>254.38401639344264</v>
      </c>
      <c r="J25">
        <v>1208.9333333333334</v>
      </c>
      <c r="K25" t="s">
        <v>136</v>
      </c>
    </row>
    <row r="26" spans="1:11" x14ac:dyDescent="0.2">
      <c r="A26" t="s">
        <v>75</v>
      </c>
      <c r="B26" s="5">
        <v>45778</v>
      </c>
      <c r="C26" s="5">
        <v>45961</v>
      </c>
      <c r="D26">
        <v>1</v>
      </c>
      <c r="E26">
        <v>24</v>
      </c>
      <c r="F26" s="6">
        <v>45959.375</v>
      </c>
      <c r="G26">
        <v>154</v>
      </c>
      <c r="H26">
        <v>539</v>
      </c>
      <c r="I26">
        <v>311.82619047619045</v>
      </c>
      <c r="J26">
        <v>1251.5166666666667</v>
      </c>
      <c r="K26" t="s">
        <v>136</v>
      </c>
    </row>
    <row r="27" spans="1:11" x14ac:dyDescent="0.2">
      <c r="A27" t="s">
        <v>76</v>
      </c>
      <c r="B27" s="5">
        <v>45778</v>
      </c>
      <c r="C27" s="5">
        <v>45961</v>
      </c>
      <c r="D27">
        <v>1</v>
      </c>
      <c r="E27">
        <v>24</v>
      </c>
      <c r="F27" s="6">
        <v>45778</v>
      </c>
      <c r="G27">
        <v>511</v>
      </c>
      <c r="H27">
        <v>5091</v>
      </c>
      <c r="I27">
        <v>208.88333333333333</v>
      </c>
      <c r="J27">
        <v>208.88333333333333</v>
      </c>
      <c r="K27" t="s">
        <v>136</v>
      </c>
    </row>
    <row r="28" spans="1:11" x14ac:dyDescent="0.2">
      <c r="A28" t="s">
        <v>77</v>
      </c>
      <c r="B28" s="5">
        <v>45778</v>
      </c>
      <c r="C28" s="5">
        <v>45961</v>
      </c>
      <c r="D28">
        <v>1</v>
      </c>
      <c r="E28">
        <v>24</v>
      </c>
      <c r="F28" s="6">
        <v>45779.208333333336</v>
      </c>
      <c r="G28">
        <v>626</v>
      </c>
      <c r="H28">
        <v>6442</v>
      </c>
      <c r="I28">
        <v>127.71392438764643</v>
      </c>
      <c r="J28">
        <v>994.51666666666665</v>
      </c>
      <c r="K28" t="s">
        <v>136</v>
      </c>
    </row>
    <row r="29" spans="1:11" x14ac:dyDescent="0.2">
      <c r="A29" t="s">
        <v>78</v>
      </c>
      <c r="B29" s="5">
        <v>45778</v>
      </c>
      <c r="C29" s="5">
        <v>45961</v>
      </c>
      <c r="D29">
        <v>1</v>
      </c>
      <c r="E29">
        <v>24</v>
      </c>
      <c r="F29" s="6"/>
      <c r="K29" t="s">
        <v>136</v>
      </c>
    </row>
    <row r="30" spans="1:11" x14ac:dyDescent="0.2">
      <c r="A30" t="s">
        <v>79</v>
      </c>
      <c r="B30" s="5">
        <v>45778</v>
      </c>
      <c r="C30" s="5">
        <v>45961</v>
      </c>
      <c r="D30">
        <v>1</v>
      </c>
      <c r="E30">
        <v>24</v>
      </c>
      <c r="F30" s="6">
        <v>45785.958333333336</v>
      </c>
      <c r="G30">
        <v>249</v>
      </c>
      <c r="H30">
        <v>2451</v>
      </c>
      <c r="I30">
        <v>234.72610441767068</v>
      </c>
      <c r="J30">
        <v>1114.3333333333333</v>
      </c>
      <c r="K30" t="s">
        <v>136</v>
      </c>
    </row>
    <row r="31" spans="1:11" x14ac:dyDescent="0.2">
      <c r="A31" t="s">
        <v>80</v>
      </c>
      <c r="B31" s="5">
        <v>45778</v>
      </c>
      <c r="C31" s="5">
        <v>45961</v>
      </c>
      <c r="D31">
        <v>1</v>
      </c>
      <c r="E31">
        <v>24</v>
      </c>
      <c r="F31" s="6">
        <v>45779.958333333336</v>
      </c>
      <c r="G31">
        <v>274</v>
      </c>
      <c r="H31">
        <v>2350</v>
      </c>
      <c r="I31">
        <v>127.05602189781023</v>
      </c>
      <c r="J31">
        <v>1100.2666666666667</v>
      </c>
      <c r="K31" t="s">
        <v>136</v>
      </c>
    </row>
    <row r="32" spans="1:11" x14ac:dyDescent="0.2">
      <c r="A32" t="s">
        <v>81</v>
      </c>
      <c r="B32" s="5">
        <v>45778</v>
      </c>
      <c r="C32" s="5">
        <v>45961</v>
      </c>
      <c r="D32">
        <v>1</v>
      </c>
      <c r="E32">
        <v>24</v>
      </c>
      <c r="F32" s="6">
        <v>45960</v>
      </c>
      <c r="G32">
        <v>40</v>
      </c>
      <c r="H32">
        <v>342</v>
      </c>
      <c r="I32">
        <v>215.60958333333335</v>
      </c>
      <c r="J32">
        <v>772.48333333333335</v>
      </c>
      <c r="K32" t="s">
        <v>136</v>
      </c>
    </row>
    <row r="33" spans="1:11" x14ac:dyDescent="0.2">
      <c r="A33" t="s">
        <v>82</v>
      </c>
      <c r="B33" s="5">
        <v>45778</v>
      </c>
      <c r="C33" s="5">
        <v>45961</v>
      </c>
      <c r="D33">
        <v>1</v>
      </c>
      <c r="E33">
        <v>24</v>
      </c>
      <c r="F33" s="6">
        <v>45791.5</v>
      </c>
      <c r="G33">
        <v>49</v>
      </c>
      <c r="H33">
        <v>218</v>
      </c>
      <c r="I33">
        <v>257.25612244897962</v>
      </c>
      <c r="J33">
        <v>1237.4000000000001</v>
      </c>
      <c r="K33" t="s">
        <v>136</v>
      </c>
    </row>
    <row r="34" spans="1:11" x14ac:dyDescent="0.2">
      <c r="A34" t="s">
        <v>83</v>
      </c>
      <c r="B34" s="5">
        <v>45778</v>
      </c>
      <c r="C34" s="5">
        <v>45961</v>
      </c>
      <c r="D34">
        <v>1</v>
      </c>
      <c r="E34">
        <v>24</v>
      </c>
      <c r="F34" s="6">
        <v>45778</v>
      </c>
      <c r="G34">
        <v>44</v>
      </c>
      <c r="H34">
        <v>303</v>
      </c>
      <c r="I34">
        <v>195.3094696969697</v>
      </c>
      <c r="J34">
        <v>208.88333333333333</v>
      </c>
      <c r="K34" t="s">
        <v>136</v>
      </c>
    </row>
    <row r="35" spans="1:11" x14ac:dyDescent="0.2">
      <c r="A35" t="s">
        <v>84</v>
      </c>
      <c r="B35" s="5">
        <v>45778</v>
      </c>
      <c r="C35" s="5">
        <v>45961</v>
      </c>
      <c r="D35">
        <v>1</v>
      </c>
      <c r="E35">
        <v>24</v>
      </c>
      <c r="F35" s="6">
        <v>45779.916666666664</v>
      </c>
      <c r="G35">
        <v>58</v>
      </c>
      <c r="H35">
        <v>565</v>
      </c>
      <c r="I35">
        <v>136.29798850574713</v>
      </c>
      <c r="J35">
        <v>516.0333333333333</v>
      </c>
      <c r="K35" t="s">
        <v>136</v>
      </c>
    </row>
    <row r="36" spans="1:11" x14ac:dyDescent="0.2">
      <c r="A36" t="s">
        <v>85</v>
      </c>
      <c r="B36" s="5">
        <v>45778</v>
      </c>
      <c r="C36" s="5">
        <v>45961</v>
      </c>
      <c r="D36">
        <v>1</v>
      </c>
      <c r="E36">
        <v>24</v>
      </c>
      <c r="F36" s="6"/>
      <c r="K36" t="s">
        <v>136</v>
      </c>
    </row>
    <row r="37" spans="1:11" x14ac:dyDescent="0.2">
      <c r="A37" t="s">
        <v>86</v>
      </c>
      <c r="B37" s="5">
        <v>45778</v>
      </c>
      <c r="C37" s="5">
        <v>45961</v>
      </c>
      <c r="D37">
        <v>1</v>
      </c>
      <c r="E37">
        <v>24</v>
      </c>
      <c r="F37" s="6">
        <v>45959.916666666664</v>
      </c>
      <c r="G37">
        <v>416</v>
      </c>
      <c r="H37">
        <v>3937</v>
      </c>
      <c r="I37">
        <v>99.940945512820505</v>
      </c>
      <c r="J37">
        <v>1155.6666666666667</v>
      </c>
      <c r="K37" t="s">
        <v>136</v>
      </c>
    </row>
    <row r="38" spans="1:11" x14ac:dyDescent="0.2">
      <c r="A38" t="s">
        <v>87</v>
      </c>
      <c r="B38" s="5">
        <v>45778</v>
      </c>
      <c r="C38" s="5">
        <v>45961</v>
      </c>
      <c r="D38">
        <v>1</v>
      </c>
      <c r="E38">
        <v>24</v>
      </c>
      <c r="F38" s="6"/>
      <c r="K38" t="s">
        <v>137</v>
      </c>
    </row>
    <row r="39" spans="1:11" x14ac:dyDescent="0.2">
      <c r="A39" t="s">
        <v>88</v>
      </c>
      <c r="B39" s="5">
        <v>45778</v>
      </c>
      <c r="C39" s="5">
        <v>45961</v>
      </c>
      <c r="D39">
        <v>1</v>
      </c>
      <c r="E39">
        <v>24</v>
      </c>
      <c r="F39" s="6"/>
      <c r="K39" t="s">
        <v>136</v>
      </c>
    </row>
    <row r="40" spans="1:11" x14ac:dyDescent="0.2">
      <c r="A40" t="s">
        <v>89</v>
      </c>
      <c r="B40" s="5">
        <v>45778</v>
      </c>
      <c r="C40" s="5">
        <v>45961</v>
      </c>
      <c r="D40">
        <v>1</v>
      </c>
      <c r="E40">
        <v>24</v>
      </c>
      <c r="F40" s="6">
        <v>45778</v>
      </c>
      <c r="G40">
        <v>37</v>
      </c>
      <c r="H40">
        <v>268</v>
      </c>
      <c r="I40">
        <v>73.838738738738741</v>
      </c>
      <c r="J40">
        <v>208.88333333333333</v>
      </c>
      <c r="K40" t="s">
        <v>136</v>
      </c>
    </row>
    <row r="41" spans="1:11" x14ac:dyDescent="0.2">
      <c r="A41" t="s">
        <v>90</v>
      </c>
      <c r="B41" s="5">
        <v>45778</v>
      </c>
      <c r="C41" s="5">
        <v>45961</v>
      </c>
      <c r="D41">
        <v>1</v>
      </c>
      <c r="E41">
        <v>24</v>
      </c>
      <c r="F41" s="6">
        <v>45959.458333333336</v>
      </c>
      <c r="G41">
        <v>126</v>
      </c>
      <c r="H41">
        <v>1074</v>
      </c>
      <c r="I41">
        <v>131.84470899470901</v>
      </c>
      <c r="J41">
        <v>1371.5166666666667</v>
      </c>
      <c r="K41" t="s">
        <v>136</v>
      </c>
    </row>
    <row r="42" spans="1:11" x14ac:dyDescent="0.2">
      <c r="A42" t="s">
        <v>91</v>
      </c>
      <c r="B42" s="5">
        <v>45778</v>
      </c>
      <c r="C42" s="5">
        <v>45961</v>
      </c>
      <c r="D42">
        <v>1</v>
      </c>
      <c r="E42">
        <v>24</v>
      </c>
      <c r="F42" s="6">
        <v>45959</v>
      </c>
      <c r="G42">
        <v>1489</v>
      </c>
      <c r="H42">
        <v>19993</v>
      </c>
      <c r="I42">
        <v>120.74957465860757</v>
      </c>
      <c r="J42">
        <v>711.51666666666665</v>
      </c>
      <c r="K42" t="s">
        <v>136</v>
      </c>
    </row>
    <row r="43" spans="1:11" x14ac:dyDescent="0.2">
      <c r="A43" t="s">
        <v>92</v>
      </c>
      <c r="B43" s="5">
        <v>45778</v>
      </c>
      <c r="C43" s="5">
        <v>45961</v>
      </c>
      <c r="D43">
        <v>1</v>
      </c>
      <c r="E43">
        <v>24</v>
      </c>
      <c r="F43" s="6">
        <v>45960</v>
      </c>
      <c r="G43">
        <v>424</v>
      </c>
      <c r="H43">
        <v>3058</v>
      </c>
      <c r="I43">
        <v>136.49272798742138</v>
      </c>
      <c r="J43">
        <v>800.23333333333335</v>
      </c>
      <c r="K43" t="s">
        <v>136</v>
      </c>
    </row>
    <row r="44" spans="1:11" x14ac:dyDescent="0.2">
      <c r="A44" t="s">
        <v>93</v>
      </c>
      <c r="B44" s="5">
        <v>45778</v>
      </c>
      <c r="C44" s="5">
        <v>45961</v>
      </c>
      <c r="D44">
        <v>1</v>
      </c>
      <c r="E44">
        <v>24</v>
      </c>
      <c r="F44" s="6">
        <v>45959.958333333336</v>
      </c>
      <c r="G44">
        <v>221</v>
      </c>
      <c r="H44">
        <v>1922</v>
      </c>
      <c r="I44">
        <v>189.1787330316742</v>
      </c>
      <c r="J44">
        <v>530.06666666666672</v>
      </c>
      <c r="K44" t="s">
        <v>136</v>
      </c>
    </row>
    <row r="45" spans="1:11" x14ac:dyDescent="0.2">
      <c r="A45" t="s">
        <v>94</v>
      </c>
      <c r="B45" s="5">
        <v>45778</v>
      </c>
      <c r="C45" s="5">
        <v>45961</v>
      </c>
      <c r="D45">
        <v>1</v>
      </c>
      <c r="E45">
        <v>24</v>
      </c>
      <c r="F45" s="6">
        <v>45778.958333333336</v>
      </c>
      <c r="G45">
        <v>113</v>
      </c>
      <c r="H45">
        <v>1419</v>
      </c>
      <c r="I45">
        <v>269.86622418879057</v>
      </c>
      <c r="J45">
        <v>695.33333333333337</v>
      </c>
      <c r="K45" t="s">
        <v>136</v>
      </c>
    </row>
    <row r="46" spans="1:11" x14ac:dyDescent="0.2">
      <c r="A46" t="s">
        <v>95</v>
      </c>
      <c r="B46" s="5">
        <v>45778</v>
      </c>
      <c r="C46" s="5">
        <v>45961</v>
      </c>
      <c r="D46">
        <v>1</v>
      </c>
      <c r="E46">
        <v>24</v>
      </c>
      <c r="F46" s="6">
        <v>45787</v>
      </c>
      <c r="G46">
        <v>321</v>
      </c>
      <c r="H46">
        <v>4875</v>
      </c>
      <c r="I46">
        <v>204.21318795430946</v>
      </c>
      <c r="J46">
        <v>773.23333333333335</v>
      </c>
      <c r="K46" t="s">
        <v>136</v>
      </c>
    </row>
    <row r="47" spans="1:11" x14ac:dyDescent="0.2">
      <c r="A47" t="s">
        <v>96</v>
      </c>
      <c r="B47" s="5">
        <v>45778</v>
      </c>
      <c r="C47" s="5">
        <v>45961</v>
      </c>
      <c r="D47">
        <v>1</v>
      </c>
      <c r="E47">
        <v>24</v>
      </c>
      <c r="F47" s="6">
        <v>45807.958333333336</v>
      </c>
      <c r="G47">
        <v>1546</v>
      </c>
      <c r="H47">
        <v>9284</v>
      </c>
      <c r="I47">
        <v>230.10741699008196</v>
      </c>
      <c r="J47">
        <v>1405.9666666666667</v>
      </c>
      <c r="K47" t="s">
        <v>136</v>
      </c>
    </row>
    <row r="48" spans="1:11" x14ac:dyDescent="0.2">
      <c r="A48" t="s">
        <v>97</v>
      </c>
      <c r="B48" s="5">
        <v>45778</v>
      </c>
      <c r="C48" s="5">
        <v>45961</v>
      </c>
      <c r="D48">
        <v>1</v>
      </c>
      <c r="E48">
        <v>24</v>
      </c>
      <c r="F48" s="6">
        <v>45788.75</v>
      </c>
      <c r="G48">
        <v>23</v>
      </c>
      <c r="H48">
        <v>215</v>
      </c>
      <c r="I48">
        <v>116.85797101449275</v>
      </c>
      <c r="J48">
        <v>832.26666666666665</v>
      </c>
      <c r="K48" t="s">
        <v>136</v>
      </c>
    </row>
    <row r="49" spans="1:11" x14ac:dyDescent="0.2">
      <c r="A49" t="s">
        <v>98</v>
      </c>
      <c r="B49" s="5">
        <v>45778</v>
      </c>
      <c r="C49" s="5">
        <v>45961</v>
      </c>
      <c r="D49">
        <v>1</v>
      </c>
      <c r="E49">
        <v>24</v>
      </c>
      <c r="F49" s="6">
        <v>45789.666666666664</v>
      </c>
      <c r="G49">
        <v>35</v>
      </c>
      <c r="H49">
        <v>275</v>
      </c>
      <c r="I49">
        <v>117.94333333333334</v>
      </c>
      <c r="J49">
        <v>574.91666666666663</v>
      </c>
      <c r="K49" t="s">
        <v>136</v>
      </c>
    </row>
    <row r="50" spans="1:11" x14ac:dyDescent="0.2">
      <c r="A50" t="s">
        <v>99</v>
      </c>
      <c r="B50" s="5">
        <v>45778</v>
      </c>
      <c r="C50" s="5">
        <v>45961</v>
      </c>
      <c r="D50">
        <v>1</v>
      </c>
      <c r="E50">
        <v>24</v>
      </c>
      <c r="F50" s="6">
        <v>45778</v>
      </c>
      <c r="G50">
        <v>147</v>
      </c>
      <c r="H50">
        <v>1090</v>
      </c>
      <c r="I50">
        <v>166.68163265306123</v>
      </c>
      <c r="J50">
        <v>208.88333333333333</v>
      </c>
      <c r="K50" t="s">
        <v>136</v>
      </c>
    </row>
    <row r="51" spans="1:11" x14ac:dyDescent="0.2">
      <c r="A51" t="s">
        <v>100</v>
      </c>
      <c r="B51" s="5">
        <v>45778</v>
      </c>
      <c r="C51" s="5">
        <v>45961</v>
      </c>
      <c r="D51">
        <v>1</v>
      </c>
      <c r="E51">
        <v>24</v>
      </c>
      <c r="F51" s="6">
        <v>45781.25</v>
      </c>
      <c r="G51">
        <v>367</v>
      </c>
      <c r="H51">
        <v>2899</v>
      </c>
      <c r="I51">
        <v>274.68496821071756</v>
      </c>
      <c r="J51">
        <v>878.7166666666667</v>
      </c>
      <c r="K51" t="s">
        <v>136</v>
      </c>
    </row>
    <row r="52" spans="1:11" x14ac:dyDescent="0.2">
      <c r="A52" t="s">
        <v>101</v>
      </c>
      <c r="B52" s="5">
        <v>45778</v>
      </c>
      <c r="C52" s="5">
        <v>45961</v>
      </c>
      <c r="D52">
        <v>1</v>
      </c>
      <c r="E52">
        <v>24</v>
      </c>
      <c r="F52" s="6">
        <v>45787.333333333336</v>
      </c>
      <c r="G52">
        <v>677</v>
      </c>
      <c r="H52">
        <v>5855</v>
      </c>
      <c r="I52">
        <v>51.236459871984245</v>
      </c>
      <c r="J52">
        <v>454.81666666666666</v>
      </c>
      <c r="K52" t="s">
        <v>136</v>
      </c>
    </row>
    <row r="53" spans="1:11" x14ac:dyDescent="0.2">
      <c r="A53" t="s">
        <v>102</v>
      </c>
      <c r="B53" s="5">
        <v>45778</v>
      </c>
      <c r="C53" s="5">
        <v>45961</v>
      </c>
      <c r="D53">
        <v>1</v>
      </c>
      <c r="E53">
        <v>24</v>
      </c>
      <c r="F53" s="6">
        <v>45783.791666666664</v>
      </c>
      <c r="G53">
        <v>109</v>
      </c>
      <c r="H53">
        <v>802</v>
      </c>
      <c r="I53">
        <v>247.93272171253824</v>
      </c>
      <c r="J53">
        <v>935.41666666666663</v>
      </c>
      <c r="K53" t="s">
        <v>136</v>
      </c>
    </row>
    <row r="54" spans="1:11" x14ac:dyDescent="0.2">
      <c r="A54" t="s">
        <v>103</v>
      </c>
      <c r="B54" s="5">
        <v>45778</v>
      </c>
      <c r="C54" s="5">
        <v>45961</v>
      </c>
      <c r="D54">
        <v>1</v>
      </c>
      <c r="E54">
        <v>24</v>
      </c>
      <c r="F54" s="6">
        <v>45779.166666666664</v>
      </c>
      <c r="G54">
        <v>6</v>
      </c>
      <c r="H54">
        <v>47</v>
      </c>
      <c r="I54">
        <v>236.09444444444443</v>
      </c>
      <c r="J54">
        <v>1281</v>
      </c>
      <c r="K54" t="s">
        <v>136</v>
      </c>
    </row>
    <row r="55" spans="1:11" x14ac:dyDescent="0.2">
      <c r="A55" t="s">
        <v>104</v>
      </c>
      <c r="B55" s="5">
        <v>45778</v>
      </c>
      <c r="C55" s="5">
        <v>45961</v>
      </c>
      <c r="D55">
        <v>1</v>
      </c>
      <c r="E55">
        <v>24</v>
      </c>
      <c r="F55" s="6">
        <v>45958.875</v>
      </c>
      <c r="G55">
        <v>266</v>
      </c>
      <c r="H55">
        <v>2285</v>
      </c>
      <c r="I55">
        <v>240.95538847117797</v>
      </c>
      <c r="J55">
        <v>531.51666666666665</v>
      </c>
      <c r="K55" t="s">
        <v>136</v>
      </c>
    </row>
    <row r="56" spans="1:11" x14ac:dyDescent="0.2">
      <c r="A56" t="s">
        <v>105</v>
      </c>
      <c r="B56" s="5">
        <v>45778</v>
      </c>
      <c r="C56" s="5">
        <v>45961</v>
      </c>
      <c r="D56">
        <v>1</v>
      </c>
      <c r="E56">
        <v>24</v>
      </c>
      <c r="F56" s="6">
        <v>45786.291666666664</v>
      </c>
      <c r="G56">
        <v>195</v>
      </c>
      <c r="H56">
        <v>401</v>
      </c>
      <c r="I56">
        <v>241.41735042735041</v>
      </c>
      <c r="J56">
        <v>1353.1</v>
      </c>
      <c r="K56" t="s">
        <v>136</v>
      </c>
    </row>
    <row r="57" spans="1:11" x14ac:dyDescent="0.2">
      <c r="A57" t="s">
        <v>106</v>
      </c>
      <c r="B57" s="5">
        <v>45778</v>
      </c>
      <c r="C57" s="5">
        <v>45961</v>
      </c>
      <c r="D57">
        <v>1</v>
      </c>
      <c r="E57">
        <v>24</v>
      </c>
      <c r="F57" s="6">
        <v>45793.916666666664</v>
      </c>
      <c r="G57">
        <v>135</v>
      </c>
      <c r="H57">
        <v>1609</v>
      </c>
      <c r="I57">
        <v>257.39543209876541</v>
      </c>
      <c r="J57">
        <v>737.38333333333333</v>
      </c>
      <c r="K57" t="s">
        <v>136</v>
      </c>
    </row>
    <row r="58" spans="1:11" x14ac:dyDescent="0.2">
      <c r="A58" t="s">
        <v>107</v>
      </c>
      <c r="B58" s="5">
        <v>45778</v>
      </c>
      <c r="C58" s="5">
        <v>45961</v>
      </c>
      <c r="D58">
        <v>1</v>
      </c>
      <c r="E58">
        <v>24</v>
      </c>
      <c r="F58" s="6">
        <v>45959.375</v>
      </c>
      <c r="G58">
        <v>20</v>
      </c>
      <c r="H58">
        <v>276</v>
      </c>
      <c r="I58">
        <v>454.16166666666669</v>
      </c>
      <c r="J58">
        <v>1251.5166666666667</v>
      </c>
      <c r="K58" t="s">
        <v>136</v>
      </c>
    </row>
    <row r="59" spans="1:11" x14ac:dyDescent="0.2">
      <c r="A59" t="s">
        <v>108</v>
      </c>
      <c r="B59" s="5">
        <v>45778</v>
      </c>
      <c r="C59" s="5">
        <v>45961</v>
      </c>
      <c r="D59">
        <v>1</v>
      </c>
      <c r="E59">
        <v>24</v>
      </c>
      <c r="F59" s="6">
        <v>45960.041666666664</v>
      </c>
      <c r="G59">
        <v>86</v>
      </c>
      <c r="H59">
        <v>872</v>
      </c>
      <c r="I59">
        <v>168.27383720930231</v>
      </c>
      <c r="J59">
        <v>713.11666666666667</v>
      </c>
      <c r="K59" t="s">
        <v>136</v>
      </c>
    </row>
    <row r="60" spans="1:11" x14ac:dyDescent="0.2">
      <c r="A60" t="s">
        <v>109</v>
      </c>
      <c r="B60" s="5">
        <v>45778</v>
      </c>
      <c r="C60" s="5">
        <v>45961</v>
      </c>
      <c r="D60">
        <v>1</v>
      </c>
      <c r="E60">
        <v>24</v>
      </c>
      <c r="F60" s="6">
        <v>45959</v>
      </c>
      <c r="G60">
        <v>39</v>
      </c>
      <c r="H60">
        <v>371</v>
      </c>
      <c r="I60">
        <v>136.03589743589743</v>
      </c>
      <c r="J60">
        <v>556.20000000000005</v>
      </c>
      <c r="K60" t="s">
        <v>136</v>
      </c>
    </row>
    <row r="61" spans="1:11" x14ac:dyDescent="0.2">
      <c r="A61" t="s">
        <v>110</v>
      </c>
      <c r="B61" s="5">
        <v>45778</v>
      </c>
      <c r="C61" s="5">
        <v>45961</v>
      </c>
      <c r="D61">
        <v>1</v>
      </c>
      <c r="E61">
        <v>24</v>
      </c>
      <c r="F61" s="6">
        <v>45799.083333333336</v>
      </c>
      <c r="G61">
        <v>58</v>
      </c>
      <c r="H61">
        <v>317</v>
      </c>
      <c r="I61">
        <v>170.9316091954023</v>
      </c>
      <c r="J61">
        <v>892.7833333333333</v>
      </c>
      <c r="K61" t="s">
        <v>136</v>
      </c>
    </row>
    <row r="62" spans="1:11" x14ac:dyDescent="0.2">
      <c r="A62" t="s">
        <v>111</v>
      </c>
      <c r="B62" s="5">
        <v>45778</v>
      </c>
      <c r="C62" s="5">
        <v>45961</v>
      </c>
      <c r="D62">
        <v>1</v>
      </c>
      <c r="E62">
        <v>24</v>
      </c>
      <c r="F62" s="6">
        <v>45808.208333333336</v>
      </c>
      <c r="G62">
        <v>43</v>
      </c>
      <c r="H62">
        <v>346</v>
      </c>
      <c r="I62">
        <v>445.08682170542636</v>
      </c>
      <c r="J62">
        <v>1185.2</v>
      </c>
      <c r="K62" t="s">
        <v>136</v>
      </c>
    </row>
    <row r="63" spans="1:11" x14ac:dyDescent="0.2">
      <c r="A63" t="s">
        <v>112</v>
      </c>
      <c r="B63" s="5">
        <v>45778</v>
      </c>
      <c r="C63" s="5">
        <v>45961</v>
      </c>
      <c r="D63">
        <v>1</v>
      </c>
      <c r="E63">
        <v>24</v>
      </c>
      <c r="F63" s="6">
        <v>45805.208333333336</v>
      </c>
      <c r="G63">
        <v>954</v>
      </c>
      <c r="H63">
        <v>6682</v>
      </c>
      <c r="I63">
        <v>426.29369322152343</v>
      </c>
      <c r="J63">
        <v>1372.6166666666666</v>
      </c>
      <c r="K63" t="s">
        <v>136</v>
      </c>
    </row>
    <row r="64" spans="1:11" x14ac:dyDescent="0.2">
      <c r="A64" t="s">
        <v>113</v>
      </c>
      <c r="B64" s="5">
        <v>45778</v>
      </c>
      <c r="C64" s="5">
        <v>45961</v>
      </c>
      <c r="D64">
        <v>1</v>
      </c>
      <c r="E64">
        <v>24</v>
      </c>
      <c r="F64" s="6">
        <v>45808.375</v>
      </c>
      <c r="G64">
        <v>132</v>
      </c>
      <c r="H64">
        <v>726</v>
      </c>
      <c r="I64">
        <v>304.38358585858589</v>
      </c>
      <c r="J64">
        <v>1425.2</v>
      </c>
      <c r="K64" t="s">
        <v>136</v>
      </c>
    </row>
    <row r="65" spans="1:11" x14ac:dyDescent="0.2">
      <c r="A65" t="s">
        <v>114</v>
      </c>
      <c r="B65" s="5">
        <v>45778</v>
      </c>
      <c r="C65" s="5">
        <v>45961</v>
      </c>
      <c r="D65">
        <v>1</v>
      </c>
      <c r="E65">
        <v>24</v>
      </c>
      <c r="F65" s="6">
        <v>45959.125</v>
      </c>
      <c r="G65">
        <v>141</v>
      </c>
      <c r="H65">
        <v>542</v>
      </c>
      <c r="I65">
        <v>647.20591016548462</v>
      </c>
      <c r="J65">
        <v>891.51666666666665</v>
      </c>
      <c r="K65" t="s">
        <v>136</v>
      </c>
    </row>
    <row r="66" spans="1:11" x14ac:dyDescent="0.2">
      <c r="A66" t="s">
        <v>115</v>
      </c>
      <c r="B66" s="5">
        <v>45778</v>
      </c>
      <c r="C66" s="5">
        <v>45961</v>
      </c>
      <c r="D66">
        <v>1</v>
      </c>
      <c r="E66">
        <v>24</v>
      </c>
      <c r="F66" s="6">
        <v>45807.208333333336</v>
      </c>
      <c r="G66">
        <v>2220</v>
      </c>
      <c r="H66">
        <v>36607</v>
      </c>
      <c r="I66">
        <v>167.53837087087086</v>
      </c>
      <c r="J66">
        <v>1248.8666666666666</v>
      </c>
      <c r="K66" t="s">
        <v>136</v>
      </c>
    </row>
    <row r="67" spans="1:11" x14ac:dyDescent="0.2">
      <c r="A67" t="s">
        <v>116</v>
      </c>
      <c r="B67" s="5">
        <v>45778</v>
      </c>
      <c r="C67" s="5">
        <v>45961</v>
      </c>
      <c r="D67">
        <v>1</v>
      </c>
      <c r="E67">
        <v>24</v>
      </c>
      <c r="F67" s="6">
        <v>45794.25</v>
      </c>
      <c r="G67">
        <v>262</v>
      </c>
      <c r="H67">
        <v>1901</v>
      </c>
      <c r="I67">
        <v>289.86062340966924</v>
      </c>
      <c r="J67">
        <v>1331.0166666666667</v>
      </c>
      <c r="K67" t="s">
        <v>136</v>
      </c>
    </row>
    <row r="68" spans="1:11" x14ac:dyDescent="0.2">
      <c r="A68" t="s">
        <v>117</v>
      </c>
      <c r="B68" s="5">
        <v>45778</v>
      </c>
      <c r="C68" s="5">
        <v>45961</v>
      </c>
      <c r="D68">
        <v>1</v>
      </c>
      <c r="E68">
        <v>24</v>
      </c>
      <c r="F68" s="6">
        <v>45959.125</v>
      </c>
      <c r="G68">
        <v>599</v>
      </c>
      <c r="H68">
        <v>5968</v>
      </c>
      <c r="I68">
        <v>186.44351697273231</v>
      </c>
      <c r="J68">
        <v>891.51666666666665</v>
      </c>
      <c r="K68" t="s">
        <v>136</v>
      </c>
    </row>
    <row r="69" spans="1:11" x14ac:dyDescent="0.2">
      <c r="A69" t="s">
        <v>118</v>
      </c>
      <c r="B69" s="5">
        <v>45778</v>
      </c>
      <c r="C69" s="5">
        <v>45961</v>
      </c>
      <c r="D69">
        <v>1</v>
      </c>
      <c r="E69">
        <v>24</v>
      </c>
      <c r="F69" s="6">
        <v>45800.375</v>
      </c>
      <c r="G69">
        <v>86</v>
      </c>
      <c r="H69">
        <v>373</v>
      </c>
      <c r="I69">
        <v>463.00310077519384</v>
      </c>
      <c r="J69">
        <v>1130.8666666666666</v>
      </c>
      <c r="K69" t="s">
        <v>136</v>
      </c>
    </row>
    <row r="70" spans="1:11" x14ac:dyDescent="0.2">
      <c r="A70" t="s">
        <v>119</v>
      </c>
      <c r="B70" s="5">
        <v>45778</v>
      </c>
      <c r="C70" s="5">
        <v>45961</v>
      </c>
      <c r="D70">
        <v>1</v>
      </c>
      <c r="E70">
        <v>24</v>
      </c>
      <c r="F70" s="6">
        <v>45959</v>
      </c>
      <c r="G70">
        <v>816</v>
      </c>
      <c r="H70">
        <v>6397</v>
      </c>
      <c r="I70">
        <v>239.74409722222222</v>
      </c>
      <c r="J70">
        <v>711.51666666666665</v>
      </c>
      <c r="K70" t="s">
        <v>136</v>
      </c>
    </row>
    <row r="71" spans="1:11" x14ac:dyDescent="0.2">
      <c r="A71" t="s">
        <v>120</v>
      </c>
      <c r="B71" s="5">
        <v>45778</v>
      </c>
      <c r="C71" s="5">
        <v>45961</v>
      </c>
      <c r="D71">
        <v>1</v>
      </c>
      <c r="E71">
        <v>24</v>
      </c>
      <c r="F71" s="6">
        <v>45806.291666666664</v>
      </c>
      <c r="G71">
        <v>103</v>
      </c>
      <c r="H71">
        <v>608</v>
      </c>
      <c r="I71">
        <v>150.05809061488674</v>
      </c>
      <c r="J71">
        <v>1433.9666666666667</v>
      </c>
      <c r="K71" t="s">
        <v>136</v>
      </c>
    </row>
    <row r="72" spans="1:11" x14ac:dyDescent="0.2">
      <c r="A72" t="s">
        <v>121</v>
      </c>
      <c r="B72" s="5">
        <v>45778</v>
      </c>
      <c r="C72" s="5">
        <v>45961</v>
      </c>
      <c r="D72">
        <v>1</v>
      </c>
      <c r="E72">
        <v>24</v>
      </c>
      <c r="F72" s="6">
        <v>45958.708333333336</v>
      </c>
      <c r="G72">
        <v>286</v>
      </c>
      <c r="H72">
        <v>737</v>
      </c>
      <c r="I72">
        <v>126.99545454545455</v>
      </c>
      <c r="J72">
        <v>291.51666666666665</v>
      </c>
      <c r="K72" t="s">
        <v>136</v>
      </c>
    </row>
    <row r="73" spans="1:11" x14ac:dyDescent="0.2">
      <c r="A73" t="s">
        <v>122</v>
      </c>
      <c r="B73" s="5">
        <v>45778</v>
      </c>
      <c r="C73" s="5">
        <v>45961</v>
      </c>
      <c r="D73">
        <v>1</v>
      </c>
      <c r="E73">
        <v>24</v>
      </c>
      <c r="F73" s="6">
        <v>45806.833333333336</v>
      </c>
      <c r="G73">
        <v>182</v>
      </c>
      <c r="H73">
        <v>698</v>
      </c>
      <c r="I73">
        <v>164.78754578754578</v>
      </c>
      <c r="J73">
        <v>1224.7666666666667</v>
      </c>
      <c r="K73" t="s">
        <v>136</v>
      </c>
    </row>
    <row r="74" spans="1:11" x14ac:dyDescent="0.2">
      <c r="A74" t="s">
        <v>123</v>
      </c>
      <c r="B74" s="5">
        <v>45778</v>
      </c>
      <c r="C74" s="5">
        <v>45961</v>
      </c>
      <c r="D74">
        <v>1</v>
      </c>
      <c r="E74">
        <v>24</v>
      </c>
      <c r="F74" s="6">
        <v>45808.5</v>
      </c>
      <c r="G74">
        <v>79</v>
      </c>
      <c r="H74">
        <v>270</v>
      </c>
      <c r="I74">
        <v>254.15675105485232</v>
      </c>
      <c r="J74">
        <v>1399.4333333333334</v>
      </c>
      <c r="K74" t="s">
        <v>136</v>
      </c>
    </row>
    <row r="75" spans="1:11" x14ac:dyDescent="0.2">
      <c r="A75" t="s">
        <v>124</v>
      </c>
      <c r="B75" s="5">
        <v>45778</v>
      </c>
      <c r="C75" s="5">
        <v>45961</v>
      </c>
      <c r="D75">
        <v>1</v>
      </c>
      <c r="E75">
        <v>24</v>
      </c>
      <c r="F75" s="6">
        <v>45790.5</v>
      </c>
      <c r="G75">
        <v>1</v>
      </c>
      <c r="H75">
        <v>0</v>
      </c>
      <c r="I75">
        <v>53.85</v>
      </c>
      <c r="J75">
        <v>53.85</v>
      </c>
      <c r="K75" t="s">
        <v>136</v>
      </c>
    </row>
    <row r="76" spans="1:11" x14ac:dyDescent="0.2">
      <c r="A76" t="s">
        <v>125</v>
      </c>
      <c r="B76" s="5">
        <v>45778</v>
      </c>
      <c r="C76" s="5">
        <v>45961</v>
      </c>
      <c r="D76">
        <v>1</v>
      </c>
      <c r="E76">
        <v>24</v>
      </c>
      <c r="F76" s="6">
        <v>45778</v>
      </c>
      <c r="G76">
        <v>105</v>
      </c>
      <c r="H76">
        <v>0</v>
      </c>
      <c r="I76">
        <v>208.88333333333333</v>
      </c>
      <c r="J76">
        <v>208.88333333333333</v>
      </c>
      <c r="K76" t="s">
        <v>136</v>
      </c>
    </row>
    <row r="77" spans="1:11" x14ac:dyDescent="0.2">
      <c r="A77" t="s">
        <v>126</v>
      </c>
      <c r="B77" s="5">
        <v>45778</v>
      </c>
      <c r="C77" s="5">
        <v>45961</v>
      </c>
      <c r="D77">
        <v>1</v>
      </c>
      <c r="E77">
        <v>24</v>
      </c>
      <c r="F77" s="6">
        <v>45801.541666666664</v>
      </c>
      <c r="G77">
        <v>103</v>
      </c>
      <c r="H77">
        <v>407</v>
      </c>
      <c r="I77">
        <v>199.27265372168284</v>
      </c>
      <c r="J77">
        <v>1390.8333333333333</v>
      </c>
      <c r="K77" t="s">
        <v>136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9BC94-565E-E546-8A7E-27CE7C6DB206}">
  <dimension ref="A1:I77"/>
  <sheetViews>
    <sheetView topLeftCell="A22" workbookViewId="0">
      <selection activeCell="F15" sqref="F15"/>
    </sheetView>
  </sheetViews>
  <sheetFormatPr baseColWidth="10" defaultRowHeight="16" x14ac:dyDescent="0.2"/>
  <cols>
    <col min="1" max="1" width="31.1640625" bestFit="1" customWidth="1"/>
    <col min="2" max="2" width="12.1640625" bestFit="1" customWidth="1"/>
    <col min="3" max="3" width="11.1640625" bestFit="1" customWidth="1"/>
    <col min="4" max="4" width="10.5" bestFit="1" customWidth="1"/>
    <col min="5" max="5" width="14.33203125" bestFit="1" customWidth="1"/>
    <col min="6" max="6" width="26.6640625" bestFit="1" customWidth="1"/>
    <col min="7" max="7" width="25.6640625" bestFit="1" customWidth="1"/>
    <col min="8" max="8" width="11.33203125" bestFit="1" customWidth="1"/>
    <col min="9" max="9" width="80.6640625" bestFit="1" customWidth="1"/>
  </cols>
  <sheetData>
    <row r="1" spans="1:9" x14ac:dyDescent="0.2">
      <c r="A1" t="s">
        <v>0</v>
      </c>
      <c r="B1" t="s">
        <v>127</v>
      </c>
      <c r="C1" t="s">
        <v>128</v>
      </c>
      <c r="D1" t="s">
        <v>3</v>
      </c>
      <c r="E1" t="s">
        <v>138</v>
      </c>
      <c r="F1" t="s">
        <v>139</v>
      </c>
      <c r="G1" t="s">
        <v>140</v>
      </c>
      <c r="H1" t="s">
        <v>141</v>
      </c>
      <c r="I1" t="s">
        <v>135</v>
      </c>
    </row>
    <row r="2" spans="1:9" x14ac:dyDescent="0.2">
      <c r="A2" t="s">
        <v>51</v>
      </c>
      <c r="B2" s="5">
        <v>45778</v>
      </c>
      <c r="C2" s="5">
        <v>45961</v>
      </c>
      <c r="D2">
        <v>291</v>
      </c>
      <c r="E2">
        <v>186248</v>
      </c>
      <c r="F2">
        <v>1453</v>
      </c>
      <c r="G2">
        <v>1566</v>
      </c>
      <c r="H2">
        <v>113</v>
      </c>
      <c r="I2" t="s">
        <v>136</v>
      </c>
    </row>
    <row r="3" spans="1:9" x14ac:dyDescent="0.2">
      <c r="A3" t="s">
        <v>52</v>
      </c>
      <c r="B3" s="5">
        <v>45778</v>
      </c>
      <c r="C3" s="5">
        <v>45961</v>
      </c>
      <c r="D3">
        <v>400</v>
      </c>
      <c r="E3">
        <v>284453</v>
      </c>
      <c r="F3">
        <v>2336</v>
      </c>
      <c r="G3">
        <v>2366</v>
      </c>
      <c r="H3">
        <v>30</v>
      </c>
      <c r="I3" t="s">
        <v>136</v>
      </c>
    </row>
    <row r="4" spans="1:9" x14ac:dyDescent="0.2">
      <c r="A4" t="s">
        <v>53</v>
      </c>
      <c r="B4" s="5">
        <v>45778</v>
      </c>
      <c r="C4" s="5">
        <v>45961</v>
      </c>
      <c r="D4">
        <v>272</v>
      </c>
      <c r="E4">
        <v>137019</v>
      </c>
      <c r="F4">
        <v>2951</v>
      </c>
      <c r="G4">
        <v>3569</v>
      </c>
      <c r="H4">
        <v>618</v>
      </c>
      <c r="I4" t="s">
        <v>136</v>
      </c>
    </row>
    <row r="5" spans="1:9" x14ac:dyDescent="0.2">
      <c r="A5" t="s">
        <v>54</v>
      </c>
      <c r="B5" s="5">
        <v>45778</v>
      </c>
      <c r="C5" s="5">
        <v>45961</v>
      </c>
      <c r="D5">
        <v>239</v>
      </c>
      <c r="E5">
        <v>46656</v>
      </c>
      <c r="F5">
        <v>1891</v>
      </c>
      <c r="G5">
        <v>2053</v>
      </c>
      <c r="H5">
        <v>162</v>
      </c>
      <c r="I5" t="s">
        <v>136</v>
      </c>
    </row>
    <row r="6" spans="1:9" x14ac:dyDescent="0.2">
      <c r="A6" t="s">
        <v>55</v>
      </c>
      <c r="B6" s="5">
        <v>45778</v>
      </c>
      <c r="C6" s="5">
        <v>45961</v>
      </c>
      <c r="D6">
        <v>319</v>
      </c>
      <c r="E6">
        <v>423760</v>
      </c>
      <c r="F6">
        <v>3967</v>
      </c>
      <c r="G6">
        <v>4095</v>
      </c>
      <c r="H6">
        <v>128</v>
      </c>
      <c r="I6" t="s">
        <v>136</v>
      </c>
    </row>
    <row r="7" spans="1:9" x14ac:dyDescent="0.2">
      <c r="A7" t="s">
        <v>56</v>
      </c>
      <c r="B7" s="5">
        <v>45778</v>
      </c>
      <c r="C7" s="5">
        <v>45961</v>
      </c>
      <c r="D7">
        <v>445</v>
      </c>
      <c r="E7">
        <v>135164</v>
      </c>
      <c r="F7">
        <v>3357</v>
      </c>
      <c r="G7">
        <v>3273</v>
      </c>
      <c r="H7">
        <v>-84</v>
      </c>
      <c r="I7" t="s">
        <v>136</v>
      </c>
    </row>
    <row r="8" spans="1:9" x14ac:dyDescent="0.2">
      <c r="A8" t="s">
        <v>57</v>
      </c>
      <c r="B8" s="5">
        <v>45778</v>
      </c>
      <c r="C8" s="5">
        <v>45961</v>
      </c>
      <c r="D8">
        <v>27</v>
      </c>
      <c r="E8">
        <v>2349</v>
      </c>
      <c r="F8">
        <v>125</v>
      </c>
      <c r="G8">
        <v>132</v>
      </c>
      <c r="H8">
        <v>7</v>
      </c>
      <c r="I8" t="s">
        <v>136</v>
      </c>
    </row>
    <row r="9" spans="1:9" x14ac:dyDescent="0.2">
      <c r="A9" t="s">
        <v>58</v>
      </c>
      <c r="B9" s="5">
        <v>45778</v>
      </c>
      <c r="C9" s="5">
        <v>45961</v>
      </c>
      <c r="D9">
        <v>95</v>
      </c>
      <c r="E9">
        <v>56118</v>
      </c>
      <c r="F9">
        <v>454</v>
      </c>
      <c r="G9">
        <v>503</v>
      </c>
      <c r="H9">
        <v>49</v>
      </c>
      <c r="I9" t="s">
        <v>136</v>
      </c>
    </row>
    <row r="10" spans="1:9" x14ac:dyDescent="0.2">
      <c r="A10" t="s">
        <v>59</v>
      </c>
      <c r="B10" s="5">
        <v>45778</v>
      </c>
      <c r="C10" s="5">
        <v>45961</v>
      </c>
      <c r="D10">
        <v>414</v>
      </c>
      <c r="E10">
        <v>444730</v>
      </c>
      <c r="F10">
        <v>3199</v>
      </c>
      <c r="G10">
        <v>3220</v>
      </c>
      <c r="H10">
        <v>21</v>
      </c>
      <c r="I10" t="s">
        <v>136</v>
      </c>
    </row>
    <row r="11" spans="1:9" x14ac:dyDescent="0.2">
      <c r="A11" t="s">
        <v>60</v>
      </c>
      <c r="B11" s="5">
        <v>45778</v>
      </c>
      <c r="C11" s="5">
        <v>45961</v>
      </c>
      <c r="D11">
        <v>200</v>
      </c>
      <c r="E11">
        <v>65605</v>
      </c>
      <c r="F11">
        <v>1529</v>
      </c>
      <c r="G11">
        <v>1560</v>
      </c>
      <c r="H11">
        <v>31</v>
      </c>
      <c r="I11" t="s">
        <v>136</v>
      </c>
    </row>
    <row r="12" spans="1:9" x14ac:dyDescent="0.2">
      <c r="A12" t="s">
        <v>61</v>
      </c>
      <c r="B12" s="5">
        <v>45778</v>
      </c>
      <c r="C12" s="5">
        <v>45961</v>
      </c>
      <c r="D12">
        <v>245</v>
      </c>
      <c r="E12">
        <v>132082</v>
      </c>
      <c r="F12">
        <v>1572</v>
      </c>
      <c r="G12">
        <v>1547</v>
      </c>
      <c r="H12">
        <v>-25</v>
      </c>
      <c r="I12" t="s">
        <v>136</v>
      </c>
    </row>
    <row r="13" spans="1:9" x14ac:dyDescent="0.2">
      <c r="A13" t="s">
        <v>62</v>
      </c>
      <c r="B13" s="5">
        <v>45778</v>
      </c>
      <c r="C13" s="5">
        <v>45961</v>
      </c>
      <c r="D13">
        <v>1169</v>
      </c>
      <c r="E13">
        <v>1043239</v>
      </c>
      <c r="F13">
        <v>9915</v>
      </c>
      <c r="G13">
        <v>10650</v>
      </c>
      <c r="H13">
        <v>735</v>
      </c>
      <c r="I13" t="s">
        <v>136</v>
      </c>
    </row>
    <row r="14" spans="1:9" x14ac:dyDescent="0.2">
      <c r="A14" t="s">
        <v>63</v>
      </c>
      <c r="B14" s="5">
        <v>45778</v>
      </c>
      <c r="C14" s="5">
        <v>45961</v>
      </c>
      <c r="D14">
        <v>168</v>
      </c>
      <c r="E14">
        <v>187385</v>
      </c>
      <c r="F14">
        <v>1602</v>
      </c>
      <c r="G14">
        <v>1523</v>
      </c>
      <c r="H14">
        <v>-79</v>
      </c>
      <c r="I14" t="s">
        <v>136</v>
      </c>
    </row>
    <row r="15" spans="1:9" x14ac:dyDescent="0.2">
      <c r="A15" t="s">
        <v>64</v>
      </c>
      <c r="B15" s="5">
        <v>45778</v>
      </c>
      <c r="C15" s="5">
        <v>45961</v>
      </c>
      <c r="D15">
        <v>984</v>
      </c>
      <c r="E15">
        <v>614224</v>
      </c>
      <c r="F15">
        <v>6001</v>
      </c>
      <c r="G15">
        <v>6040</v>
      </c>
      <c r="H15">
        <v>39</v>
      </c>
      <c r="I15" t="s">
        <v>136</v>
      </c>
    </row>
    <row r="16" spans="1:9" x14ac:dyDescent="0.2">
      <c r="A16" t="s">
        <v>65</v>
      </c>
      <c r="B16" s="5">
        <v>45778</v>
      </c>
      <c r="C16" s="5">
        <v>45961</v>
      </c>
      <c r="D16">
        <v>262</v>
      </c>
      <c r="E16">
        <v>72357</v>
      </c>
      <c r="F16">
        <v>1886</v>
      </c>
      <c r="G16">
        <v>1944</v>
      </c>
      <c r="H16">
        <v>58</v>
      </c>
      <c r="I16" t="s">
        <v>136</v>
      </c>
    </row>
    <row r="17" spans="1:9" x14ac:dyDescent="0.2">
      <c r="A17" t="s">
        <v>66</v>
      </c>
      <c r="B17" s="5">
        <v>45778</v>
      </c>
      <c r="C17" s="5">
        <v>45961</v>
      </c>
      <c r="D17">
        <v>294</v>
      </c>
      <c r="E17">
        <v>146641</v>
      </c>
      <c r="F17">
        <v>1758</v>
      </c>
      <c r="G17">
        <v>1983</v>
      </c>
      <c r="H17">
        <v>225</v>
      </c>
      <c r="I17" t="s">
        <v>136</v>
      </c>
    </row>
    <row r="18" spans="1:9" x14ac:dyDescent="0.2">
      <c r="A18" t="s">
        <v>67</v>
      </c>
      <c r="B18" s="5">
        <v>45778</v>
      </c>
      <c r="C18" s="5">
        <v>45961</v>
      </c>
      <c r="D18">
        <v>316</v>
      </c>
      <c r="E18">
        <v>42642</v>
      </c>
      <c r="F18">
        <v>718</v>
      </c>
      <c r="G18">
        <v>570</v>
      </c>
      <c r="H18">
        <v>-148</v>
      </c>
      <c r="I18" t="s">
        <v>136</v>
      </c>
    </row>
    <row r="19" spans="1:9" x14ac:dyDescent="0.2">
      <c r="A19" t="s">
        <v>68</v>
      </c>
      <c r="B19" s="5">
        <v>45778</v>
      </c>
      <c r="C19" s="5">
        <v>45961</v>
      </c>
      <c r="D19">
        <v>85</v>
      </c>
      <c r="E19">
        <v>7695</v>
      </c>
      <c r="F19">
        <v>146</v>
      </c>
      <c r="G19">
        <v>168</v>
      </c>
      <c r="H19">
        <v>22</v>
      </c>
      <c r="I19" t="s">
        <v>136</v>
      </c>
    </row>
    <row r="20" spans="1:9" x14ac:dyDescent="0.2">
      <c r="A20" t="s">
        <v>69</v>
      </c>
      <c r="B20" s="5">
        <v>45778</v>
      </c>
      <c r="C20" s="5">
        <v>45961</v>
      </c>
      <c r="D20">
        <v>438</v>
      </c>
      <c r="E20">
        <v>81935</v>
      </c>
      <c r="F20">
        <v>1427</v>
      </c>
      <c r="G20">
        <v>1125</v>
      </c>
      <c r="H20">
        <v>-302</v>
      </c>
      <c r="I20" t="s">
        <v>136</v>
      </c>
    </row>
    <row r="21" spans="1:9" x14ac:dyDescent="0.2">
      <c r="A21" t="s">
        <v>70</v>
      </c>
      <c r="B21" s="5">
        <v>45778</v>
      </c>
      <c r="C21" s="5">
        <v>45961</v>
      </c>
      <c r="D21">
        <v>1183</v>
      </c>
      <c r="E21">
        <v>98070</v>
      </c>
      <c r="F21">
        <v>1784</v>
      </c>
      <c r="G21">
        <v>1391</v>
      </c>
      <c r="H21">
        <v>-393</v>
      </c>
      <c r="I21" t="s">
        <v>136</v>
      </c>
    </row>
    <row r="22" spans="1:9" x14ac:dyDescent="0.2">
      <c r="A22" t="s">
        <v>71</v>
      </c>
      <c r="B22" s="5">
        <v>45778</v>
      </c>
      <c r="C22" s="5">
        <v>45961</v>
      </c>
      <c r="D22">
        <v>6696</v>
      </c>
      <c r="E22">
        <v>570582</v>
      </c>
      <c r="F22">
        <v>6483</v>
      </c>
      <c r="G22">
        <v>5645</v>
      </c>
      <c r="H22">
        <v>-838</v>
      </c>
      <c r="I22" t="s">
        <v>136</v>
      </c>
    </row>
    <row r="23" spans="1:9" x14ac:dyDescent="0.2">
      <c r="A23" t="s">
        <v>72</v>
      </c>
      <c r="B23" s="5">
        <v>45778</v>
      </c>
      <c r="C23" s="5">
        <v>45961</v>
      </c>
      <c r="D23">
        <v>280</v>
      </c>
      <c r="E23">
        <v>59714</v>
      </c>
      <c r="F23">
        <v>399</v>
      </c>
      <c r="G23">
        <v>364</v>
      </c>
      <c r="H23">
        <v>-35</v>
      </c>
      <c r="I23" t="s">
        <v>136</v>
      </c>
    </row>
    <row r="24" spans="1:9" x14ac:dyDescent="0.2">
      <c r="A24" t="s">
        <v>73</v>
      </c>
      <c r="B24" s="5">
        <v>45778</v>
      </c>
      <c r="C24" s="5">
        <v>45961</v>
      </c>
      <c r="D24">
        <v>256</v>
      </c>
      <c r="E24">
        <v>24974</v>
      </c>
      <c r="F24">
        <v>536</v>
      </c>
      <c r="G24">
        <v>273</v>
      </c>
      <c r="H24">
        <v>-263</v>
      </c>
      <c r="I24" t="s">
        <v>136</v>
      </c>
    </row>
    <row r="25" spans="1:9" x14ac:dyDescent="0.2">
      <c r="A25" t="s">
        <v>74</v>
      </c>
      <c r="B25" s="5">
        <v>45778</v>
      </c>
      <c r="C25" s="5">
        <v>45961</v>
      </c>
      <c r="D25">
        <v>126</v>
      </c>
      <c r="E25">
        <v>84498</v>
      </c>
      <c r="F25">
        <v>723</v>
      </c>
      <c r="G25">
        <v>706</v>
      </c>
      <c r="H25">
        <v>-17</v>
      </c>
      <c r="I25" t="s">
        <v>136</v>
      </c>
    </row>
    <row r="26" spans="1:9" x14ac:dyDescent="0.2">
      <c r="A26" t="s">
        <v>75</v>
      </c>
      <c r="B26" s="5">
        <v>45778</v>
      </c>
      <c r="C26" s="5">
        <v>45961</v>
      </c>
      <c r="D26">
        <v>154</v>
      </c>
      <c r="E26">
        <v>39423</v>
      </c>
      <c r="F26">
        <v>360</v>
      </c>
      <c r="G26">
        <v>425</v>
      </c>
      <c r="H26">
        <v>65</v>
      </c>
      <c r="I26" t="s">
        <v>136</v>
      </c>
    </row>
    <row r="27" spans="1:9" x14ac:dyDescent="0.2">
      <c r="A27" t="s">
        <v>76</v>
      </c>
      <c r="B27" s="5">
        <v>45778</v>
      </c>
      <c r="C27" s="5">
        <v>45961</v>
      </c>
      <c r="D27">
        <v>3</v>
      </c>
      <c r="E27">
        <v>515</v>
      </c>
      <c r="F27">
        <v>5</v>
      </c>
      <c r="G27">
        <v>6</v>
      </c>
      <c r="H27">
        <v>1</v>
      </c>
      <c r="I27" t="s">
        <v>136</v>
      </c>
    </row>
    <row r="28" spans="1:9" x14ac:dyDescent="0.2">
      <c r="A28" t="s">
        <v>77</v>
      </c>
      <c r="B28" s="5">
        <v>45778</v>
      </c>
      <c r="C28" s="5">
        <v>45961</v>
      </c>
      <c r="D28">
        <v>635</v>
      </c>
      <c r="E28">
        <v>911562</v>
      </c>
      <c r="F28">
        <v>6013</v>
      </c>
      <c r="G28">
        <v>4862</v>
      </c>
      <c r="H28">
        <v>-1151</v>
      </c>
      <c r="I28" t="s">
        <v>136</v>
      </c>
    </row>
    <row r="29" spans="1:9" x14ac:dyDescent="0.2">
      <c r="A29" t="s">
        <v>78</v>
      </c>
      <c r="B29" s="5">
        <v>45778</v>
      </c>
      <c r="C29" s="5">
        <v>45961</v>
      </c>
      <c r="D29">
        <v>0</v>
      </c>
      <c r="I29" t="s">
        <v>136</v>
      </c>
    </row>
    <row r="30" spans="1:9" x14ac:dyDescent="0.2">
      <c r="A30" t="s">
        <v>79</v>
      </c>
      <c r="B30" s="5">
        <v>45778</v>
      </c>
      <c r="C30" s="5">
        <v>45961</v>
      </c>
      <c r="D30">
        <v>255</v>
      </c>
      <c r="E30">
        <v>213011</v>
      </c>
      <c r="F30">
        <v>2377</v>
      </c>
      <c r="G30">
        <v>2274</v>
      </c>
      <c r="H30">
        <v>-103</v>
      </c>
      <c r="I30" t="s">
        <v>136</v>
      </c>
    </row>
    <row r="31" spans="1:9" x14ac:dyDescent="0.2">
      <c r="A31" t="s">
        <v>80</v>
      </c>
      <c r="B31" s="5">
        <v>45778</v>
      </c>
      <c r="C31" s="5">
        <v>45961</v>
      </c>
      <c r="D31">
        <v>278</v>
      </c>
      <c r="E31">
        <v>363614</v>
      </c>
      <c r="F31">
        <v>2308</v>
      </c>
      <c r="G31">
        <v>2123</v>
      </c>
      <c r="H31">
        <v>-185</v>
      </c>
      <c r="I31" t="s">
        <v>136</v>
      </c>
    </row>
    <row r="32" spans="1:9" x14ac:dyDescent="0.2">
      <c r="A32" t="s">
        <v>81</v>
      </c>
      <c r="B32" s="5">
        <v>45778</v>
      </c>
      <c r="C32" s="5">
        <v>45961</v>
      </c>
      <c r="D32">
        <v>68</v>
      </c>
      <c r="E32">
        <v>18782</v>
      </c>
      <c r="F32">
        <v>465</v>
      </c>
      <c r="G32">
        <v>443</v>
      </c>
      <c r="H32">
        <v>-22</v>
      </c>
      <c r="I32" t="s">
        <v>136</v>
      </c>
    </row>
    <row r="33" spans="1:9" x14ac:dyDescent="0.2">
      <c r="A33" t="s">
        <v>82</v>
      </c>
      <c r="B33" s="5">
        <v>45778</v>
      </c>
      <c r="C33" s="5">
        <v>45961</v>
      </c>
      <c r="D33">
        <v>52</v>
      </c>
      <c r="E33">
        <v>29125</v>
      </c>
      <c r="F33">
        <v>226</v>
      </c>
      <c r="G33">
        <v>261</v>
      </c>
      <c r="H33">
        <v>35</v>
      </c>
      <c r="I33" t="s">
        <v>136</v>
      </c>
    </row>
    <row r="34" spans="1:9" x14ac:dyDescent="0.2">
      <c r="A34" t="s">
        <v>83</v>
      </c>
      <c r="B34" s="5">
        <v>45778</v>
      </c>
      <c r="C34" s="5">
        <v>45961</v>
      </c>
      <c r="D34">
        <v>44</v>
      </c>
      <c r="E34">
        <v>11503</v>
      </c>
      <c r="F34">
        <v>272</v>
      </c>
      <c r="G34">
        <v>225</v>
      </c>
      <c r="H34">
        <v>-47</v>
      </c>
      <c r="I34" t="s">
        <v>136</v>
      </c>
    </row>
    <row r="35" spans="1:9" x14ac:dyDescent="0.2">
      <c r="A35" t="s">
        <v>84</v>
      </c>
      <c r="B35" s="5">
        <v>45778</v>
      </c>
      <c r="C35" s="5">
        <v>45961</v>
      </c>
      <c r="D35">
        <v>59</v>
      </c>
      <c r="E35">
        <v>57853</v>
      </c>
      <c r="F35">
        <v>545</v>
      </c>
      <c r="G35">
        <v>447</v>
      </c>
      <c r="H35">
        <v>-98</v>
      </c>
      <c r="I35" t="s">
        <v>136</v>
      </c>
    </row>
    <row r="36" spans="1:9" x14ac:dyDescent="0.2">
      <c r="A36" t="s">
        <v>85</v>
      </c>
      <c r="B36" s="5">
        <v>45778</v>
      </c>
      <c r="C36" s="5">
        <v>45961</v>
      </c>
      <c r="D36">
        <v>0</v>
      </c>
      <c r="I36" t="s">
        <v>136</v>
      </c>
    </row>
    <row r="37" spans="1:9" x14ac:dyDescent="0.2">
      <c r="A37" t="s">
        <v>86</v>
      </c>
      <c r="B37" s="5">
        <v>45778</v>
      </c>
      <c r="C37" s="5">
        <v>45961</v>
      </c>
      <c r="D37">
        <v>432</v>
      </c>
      <c r="E37">
        <v>658048</v>
      </c>
      <c r="F37">
        <v>3661</v>
      </c>
      <c r="G37">
        <v>3799</v>
      </c>
      <c r="H37">
        <v>138</v>
      </c>
      <c r="I37" t="s">
        <v>136</v>
      </c>
    </row>
    <row r="38" spans="1:9" x14ac:dyDescent="0.2">
      <c r="A38" t="s">
        <v>87</v>
      </c>
      <c r="B38" s="5">
        <v>45778</v>
      </c>
      <c r="C38" s="5">
        <v>45961</v>
      </c>
      <c r="I38" t="s">
        <v>142</v>
      </c>
    </row>
    <row r="39" spans="1:9" x14ac:dyDescent="0.2">
      <c r="A39" t="s">
        <v>88</v>
      </c>
      <c r="B39" s="5">
        <v>45778</v>
      </c>
      <c r="C39" s="5">
        <v>45961</v>
      </c>
      <c r="D39">
        <v>0</v>
      </c>
      <c r="I39" t="s">
        <v>136</v>
      </c>
    </row>
    <row r="40" spans="1:9" x14ac:dyDescent="0.2">
      <c r="A40" t="s">
        <v>89</v>
      </c>
      <c r="B40" s="5">
        <v>45778</v>
      </c>
      <c r="C40" s="5">
        <v>45961</v>
      </c>
      <c r="D40">
        <v>37</v>
      </c>
      <c r="E40">
        <v>45996</v>
      </c>
      <c r="F40">
        <v>269</v>
      </c>
      <c r="G40">
        <v>246</v>
      </c>
      <c r="H40">
        <v>-23</v>
      </c>
      <c r="I40" t="s">
        <v>136</v>
      </c>
    </row>
    <row r="41" spans="1:9" x14ac:dyDescent="0.2">
      <c r="A41" t="s">
        <v>90</v>
      </c>
      <c r="B41" s="5">
        <v>45778</v>
      </c>
      <c r="C41" s="5">
        <v>45961</v>
      </c>
      <c r="D41">
        <v>125</v>
      </c>
      <c r="E41">
        <v>121255</v>
      </c>
      <c r="F41">
        <v>983</v>
      </c>
      <c r="G41">
        <v>1018</v>
      </c>
      <c r="H41">
        <v>35</v>
      </c>
      <c r="I41" t="s">
        <v>136</v>
      </c>
    </row>
    <row r="42" spans="1:9" x14ac:dyDescent="0.2">
      <c r="A42" t="s">
        <v>91</v>
      </c>
      <c r="B42" s="5">
        <v>45778</v>
      </c>
      <c r="C42" s="5">
        <v>45961</v>
      </c>
      <c r="D42">
        <v>1469</v>
      </c>
      <c r="E42">
        <v>2457131</v>
      </c>
      <c r="F42">
        <v>18167</v>
      </c>
      <c r="G42">
        <v>18337</v>
      </c>
      <c r="H42">
        <v>170</v>
      </c>
      <c r="I42" t="s">
        <v>136</v>
      </c>
    </row>
    <row r="43" spans="1:9" x14ac:dyDescent="0.2">
      <c r="A43" t="s">
        <v>92</v>
      </c>
      <c r="B43" s="5">
        <v>45778</v>
      </c>
      <c r="C43" s="5">
        <v>45961</v>
      </c>
      <c r="D43">
        <v>428</v>
      </c>
      <c r="E43">
        <v>608449</v>
      </c>
      <c r="F43">
        <v>2499</v>
      </c>
      <c r="G43">
        <v>2770</v>
      </c>
      <c r="H43">
        <v>271</v>
      </c>
      <c r="I43" t="s">
        <v>136</v>
      </c>
    </row>
    <row r="44" spans="1:9" x14ac:dyDescent="0.2">
      <c r="A44" t="s">
        <v>93</v>
      </c>
      <c r="B44" s="5">
        <v>45778</v>
      </c>
      <c r="C44" s="5">
        <v>45961</v>
      </c>
      <c r="D44">
        <v>223</v>
      </c>
      <c r="E44">
        <v>251459</v>
      </c>
      <c r="F44">
        <v>1866</v>
      </c>
      <c r="G44">
        <v>1887</v>
      </c>
      <c r="H44">
        <v>21</v>
      </c>
      <c r="I44" t="s">
        <v>136</v>
      </c>
    </row>
    <row r="45" spans="1:9" x14ac:dyDescent="0.2">
      <c r="A45" t="s">
        <v>94</v>
      </c>
      <c r="B45" s="5">
        <v>45778</v>
      </c>
      <c r="C45" s="5">
        <v>45961</v>
      </c>
      <c r="D45">
        <v>114</v>
      </c>
      <c r="E45">
        <v>141739</v>
      </c>
      <c r="F45">
        <v>1371</v>
      </c>
      <c r="G45">
        <v>1416</v>
      </c>
      <c r="H45">
        <v>45</v>
      </c>
      <c r="I45" t="s">
        <v>136</v>
      </c>
    </row>
    <row r="46" spans="1:9" x14ac:dyDescent="0.2">
      <c r="A46" t="s">
        <v>95</v>
      </c>
      <c r="B46" s="5">
        <v>45778</v>
      </c>
      <c r="C46" s="5">
        <v>45961</v>
      </c>
      <c r="D46">
        <v>324</v>
      </c>
      <c r="E46">
        <v>372429</v>
      </c>
      <c r="F46">
        <v>4274</v>
      </c>
      <c r="G46">
        <v>4133</v>
      </c>
      <c r="H46">
        <v>-141</v>
      </c>
      <c r="I46" t="s">
        <v>136</v>
      </c>
    </row>
    <row r="47" spans="1:9" x14ac:dyDescent="0.2">
      <c r="A47" t="s">
        <v>96</v>
      </c>
      <c r="B47" s="5">
        <v>45778</v>
      </c>
      <c r="C47" s="5">
        <v>45961</v>
      </c>
      <c r="D47">
        <v>1699</v>
      </c>
      <c r="E47">
        <v>1480603</v>
      </c>
      <c r="F47">
        <v>7696</v>
      </c>
      <c r="G47">
        <v>7176</v>
      </c>
      <c r="H47">
        <v>-520</v>
      </c>
      <c r="I47" t="s">
        <v>136</v>
      </c>
    </row>
    <row r="48" spans="1:9" x14ac:dyDescent="0.2">
      <c r="A48" t="s">
        <v>97</v>
      </c>
      <c r="B48" s="5">
        <v>45778</v>
      </c>
      <c r="C48" s="5">
        <v>45961</v>
      </c>
      <c r="D48">
        <v>23</v>
      </c>
      <c r="E48">
        <v>10398</v>
      </c>
      <c r="F48">
        <v>154</v>
      </c>
      <c r="G48">
        <v>125</v>
      </c>
      <c r="H48">
        <v>-29</v>
      </c>
      <c r="I48" t="s">
        <v>136</v>
      </c>
    </row>
    <row r="49" spans="1:9" x14ac:dyDescent="0.2">
      <c r="A49" t="s">
        <v>98</v>
      </c>
      <c r="B49" s="5">
        <v>45778</v>
      </c>
      <c r="C49" s="5">
        <v>45961</v>
      </c>
      <c r="D49">
        <v>36</v>
      </c>
      <c r="E49">
        <v>13802</v>
      </c>
      <c r="F49">
        <v>244</v>
      </c>
      <c r="G49">
        <v>180</v>
      </c>
      <c r="H49">
        <v>-64</v>
      </c>
      <c r="I49" t="s">
        <v>136</v>
      </c>
    </row>
    <row r="50" spans="1:9" x14ac:dyDescent="0.2">
      <c r="A50" t="s">
        <v>99</v>
      </c>
      <c r="B50" s="5">
        <v>45778</v>
      </c>
      <c r="C50" s="5">
        <v>45961</v>
      </c>
      <c r="D50">
        <v>147</v>
      </c>
      <c r="E50">
        <v>146432</v>
      </c>
      <c r="F50">
        <v>1049</v>
      </c>
      <c r="G50">
        <v>599</v>
      </c>
      <c r="H50">
        <v>-450</v>
      </c>
      <c r="I50" t="s">
        <v>136</v>
      </c>
    </row>
    <row r="51" spans="1:9" x14ac:dyDescent="0.2">
      <c r="A51" t="s">
        <v>100</v>
      </c>
      <c r="B51" s="5">
        <v>45778</v>
      </c>
      <c r="C51" s="5">
        <v>45961</v>
      </c>
      <c r="D51">
        <v>372</v>
      </c>
      <c r="E51">
        <v>322145</v>
      </c>
      <c r="F51">
        <v>2692</v>
      </c>
      <c r="G51">
        <v>1711</v>
      </c>
      <c r="H51">
        <v>-981</v>
      </c>
      <c r="I51" t="s">
        <v>136</v>
      </c>
    </row>
    <row r="52" spans="1:9" x14ac:dyDescent="0.2">
      <c r="A52" t="s">
        <v>101</v>
      </c>
      <c r="B52" s="5">
        <v>45778</v>
      </c>
      <c r="C52" s="5">
        <v>45961</v>
      </c>
      <c r="D52">
        <v>678</v>
      </c>
      <c r="E52">
        <v>980536</v>
      </c>
      <c r="F52">
        <v>4621</v>
      </c>
      <c r="G52">
        <v>4963</v>
      </c>
      <c r="H52">
        <v>342</v>
      </c>
      <c r="I52" t="s">
        <v>136</v>
      </c>
    </row>
    <row r="53" spans="1:9" x14ac:dyDescent="0.2">
      <c r="A53" t="s">
        <v>102</v>
      </c>
      <c r="B53" s="5">
        <v>45778</v>
      </c>
      <c r="C53" s="5">
        <v>45961</v>
      </c>
      <c r="D53">
        <v>109</v>
      </c>
      <c r="E53">
        <v>55290</v>
      </c>
      <c r="F53">
        <v>794</v>
      </c>
      <c r="G53">
        <v>293</v>
      </c>
      <c r="H53">
        <v>-501</v>
      </c>
      <c r="I53" t="s">
        <v>136</v>
      </c>
    </row>
    <row r="54" spans="1:9" x14ac:dyDescent="0.2">
      <c r="A54" t="s">
        <v>103</v>
      </c>
      <c r="B54" s="5">
        <v>45778</v>
      </c>
      <c r="C54" s="5">
        <v>45961</v>
      </c>
      <c r="D54">
        <v>6</v>
      </c>
      <c r="E54">
        <v>1888</v>
      </c>
      <c r="F54">
        <v>43</v>
      </c>
      <c r="G54">
        <v>29</v>
      </c>
      <c r="H54">
        <v>-14</v>
      </c>
      <c r="I54" t="s">
        <v>136</v>
      </c>
    </row>
    <row r="55" spans="1:9" x14ac:dyDescent="0.2">
      <c r="A55" t="s">
        <v>104</v>
      </c>
      <c r="B55" s="5">
        <v>45778</v>
      </c>
      <c r="C55" s="5">
        <v>45961</v>
      </c>
      <c r="D55">
        <v>269</v>
      </c>
      <c r="E55">
        <v>175695</v>
      </c>
      <c r="F55">
        <v>1882</v>
      </c>
      <c r="G55">
        <v>2188</v>
      </c>
      <c r="H55">
        <v>306</v>
      </c>
      <c r="I55" t="s">
        <v>136</v>
      </c>
    </row>
    <row r="56" spans="1:9" x14ac:dyDescent="0.2">
      <c r="A56" t="s">
        <v>105</v>
      </c>
      <c r="B56" s="5">
        <v>45778</v>
      </c>
      <c r="C56" s="5">
        <v>45961</v>
      </c>
      <c r="D56">
        <v>217</v>
      </c>
      <c r="E56">
        <v>78233</v>
      </c>
      <c r="F56">
        <v>421</v>
      </c>
      <c r="G56">
        <v>340</v>
      </c>
      <c r="H56">
        <v>-81</v>
      </c>
      <c r="I56" t="s">
        <v>136</v>
      </c>
    </row>
    <row r="57" spans="1:9" x14ac:dyDescent="0.2">
      <c r="A57" t="s">
        <v>106</v>
      </c>
      <c r="B57" s="5">
        <v>45778</v>
      </c>
      <c r="C57" s="5">
        <v>45961</v>
      </c>
      <c r="D57">
        <v>137</v>
      </c>
      <c r="E57">
        <v>96813</v>
      </c>
      <c r="F57">
        <v>1581</v>
      </c>
      <c r="G57">
        <v>1538</v>
      </c>
      <c r="H57">
        <v>-43</v>
      </c>
      <c r="I57" t="s">
        <v>136</v>
      </c>
    </row>
    <row r="58" spans="1:9" x14ac:dyDescent="0.2">
      <c r="A58" t="s">
        <v>107</v>
      </c>
      <c r="B58" s="5">
        <v>45778</v>
      </c>
      <c r="C58" s="5">
        <v>45961</v>
      </c>
      <c r="D58">
        <v>20</v>
      </c>
      <c r="E58">
        <v>3049</v>
      </c>
      <c r="F58">
        <v>163</v>
      </c>
      <c r="G58">
        <v>164</v>
      </c>
      <c r="H58">
        <v>1</v>
      </c>
      <c r="I58" t="s">
        <v>136</v>
      </c>
    </row>
    <row r="59" spans="1:9" x14ac:dyDescent="0.2">
      <c r="A59" t="s">
        <v>108</v>
      </c>
      <c r="B59" s="5">
        <v>45778</v>
      </c>
      <c r="C59" s="5">
        <v>45961</v>
      </c>
      <c r="D59">
        <v>86</v>
      </c>
      <c r="E59">
        <v>105873</v>
      </c>
      <c r="F59">
        <v>782</v>
      </c>
      <c r="G59">
        <v>859</v>
      </c>
      <c r="H59">
        <v>77</v>
      </c>
      <c r="I59" t="s">
        <v>136</v>
      </c>
    </row>
    <row r="60" spans="1:9" x14ac:dyDescent="0.2">
      <c r="A60" t="s">
        <v>109</v>
      </c>
      <c r="B60" s="5">
        <v>45778</v>
      </c>
      <c r="C60" s="5">
        <v>45961</v>
      </c>
      <c r="D60">
        <v>39</v>
      </c>
      <c r="E60">
        <v>43217</v>
      </c>
      <c r="F60">
        <v>340</v>
      </c>
      <c r="G60">
        <v>343</v>
      </c>
      <c r="H60">
        <v>3</v>
      </c>
      <c r="I60" t="s">
        <v>136</v>
      </c>
    </row>
    <row r="61" spans="1:9" x14ac:dyDescent="0.2">
      <c r="A61" t="s">
        <v>110</v>
      </c>
      <c r="B61" s="5">
        <v>45778</v>
      </c>
      <c r="C61" s="5">
        <v>45961</v>
      </c>
      <c r="D61">
        <v>64</v>
      </c>
      <c r="E61">
        <v>38457</v>
      </c>
      <c r="F61">
        <v>324</v>
      </c>
      <c r="G61">
        <v>251</v>
      </c>
      <c r="H61">
        <v>-73</v>
      </c>
      <c r="I61" t="s">
        <v>136</v>
      </c>
    </row>
    <row r="62" spans="1:9" x14ac:dyDescent="0.2">
      <c r="A62" t="s">
        <v>111</v>
      </c>
      <c r="B62" s="5">
        <v>45778</v>
      </c>
      <c r="C62" s="5">
        <v>45961</v>
      </c>
      <c r="D62">
        <v>43</v>
      </c>
      <c r="E62">
        <v>9197</v>
      </c>
      <c r="F62">
        <v>278</v>
      </c>
      <c r="G62">
        <v>288</v>
      </c>
      <c r="H62">
        <v>10</v>
      </c>
      <c r="I62" t="s">
        <v>136</v>
      </c>
    </row>
    <row r="63" spans="1:9" x14ac:dyDescent="0.2">
      <c r="A63" t="s">
        <v>112</v>
      </c>
      <c r="B63" s="5">
        <v>45778</v>
      </c>
      <c r="C63" s="5">
        <v>45961</v>
      </c>
      <c r="D63">
        <v>1494</v>
      </c>
      <c r="E63">
        <v>508692</v>
      </c>
      <c r="F63">
        <v>6558</v>
      </c>
      <c r="G63">
        <v>5574</v>
      </c>
      <c r="H63">
        <v>-984</v>
      </c>
      <c r="I63" t="s">
        <v>136</v>
      </c>
    </row>
    <row r="64" spans="1:9" x14ac:dyDescent="0.2">
      <c r="A64" t="s">
        <v>113</v>
      </c>
      <c r="B64" s="5">
        <v>45778</v>
      </c>
      <c r="C64" s="5">
        <v>45961</v>
      </c>
      <c r="D64">
        <v>143</v>
      </c>
      <c r="E64">
        <v>55387</v>
      </c>
      <c r="F64">
        <v>680</v>
      </c>
      <c r="G64">
        <v>658</v>
      </c>
      <c r="H64">
        <v>-22</v>
      </c>
      <c r="I64" t="s">
        <v>136</v>
      </c>
    </row>
    <row r="65" spans="1:9" x14ac:dyDescent="0.2">
      <c r="A65" t="s">
        <v>114</v>
      </c>
      <c r="B65" s="5">
        <v>45778</v>
      </c>
      <c r="C65" s="5">
        <v>45961</v>
      </c>
      <c r="D65">
        <v>141</v>
      </c>
      <c r="E65">
        <v>11841</v>
      </c>
      <c r="F65">
        <v>477</v>
      </c>
      <c r="G65">
        <v>421</v>
      </c>
      <c r="H65">
        <v>-56</v>
      </c>
      <c r="I65" t="s">
        <v>136</v>
      </c>
    </row>
    <row r="66" spans="1:9" x14ac:dyDescent="0.2">
      <c r="A66" t="s">
        <v>115</v>
      </c>
      <c r="B66" s="5">
        <v>45778</v>
      </c>
      <c r="C66" s="5">
        <v>45961</v>
      </c>
      <c r="D66">
        <v>2292</v>
      </c>
      <c r="E66">
        <v>2540594</v>
      </c>
      <c r="F66">
        <v>32212</v>
      </c>
      <c r="G66">
        <v>30965</v>
      </c>
      <c r="H66">
        <v>-1247</v>
      </c>
      <c r="I66" t="s">
        <v>136</v>
      </c>
    </row>
    <row r="67" spans="1:9" x14ac:dyDescent="0.2">
      <c r="A67" t="s">
        <v>116</v>
      </c>
      <c r="B67" s="5">
        <v>45778</v>
      </c>
      <c r="C67" s="5">
        <v>45961</v>
      </c>
      <c r="D67">
        <v>285</v>
      </c>
      <c r="E67">
        <v>152475</v>
      </c>
      <c r="F67">
        <v>1799</v>
      </c>
      <c r="G67">
        <v>1666</v>
      </c>
      <c r="H67">
        <v>-133</v>
      </c>
      <c r="I67" t="s">
        <v>136</v>
      </c>
    </row>
    <row r="68" spans="1:9" x14ac:dyDescent="0.2">
      <c r="A68" t="s">
        <v>117</v>
      </c>
      <c r="B68" s="5">
        <v>45778</v>
      </c>
      <c r="C68" s="5">
        <v>45961</v>
      </c>
      <c r="D68">
        <v>615</v>
      </c>
      <c r="E68">
        <v>364847</v>
      </c>
      <c r="F68">
        <v>5046</v>
      </c>
      <c r="G68">
        <v>5369</v>
      </c>
      <c r="H68">
        <v>323</v>
      </c>
      <c r="I68" t="s">
        <v>136</v>
      </c>
    </row>
    <row r="69" spans="1:9" x14ac:dyDescent="0.2">
      <c r="A69" t="s">
        <v>118</v>
      </c>
      <c r="B69" s="5">
        <v>45778</v>
      </c>
      <c r="C69" s="5">
        <v>45961</v>
      </c>
      <c r="D69">
        <v>97</v>
      </c>
      <c r="E69">
        <v>36345</v>
      </c>
      <c r="F69">
        <v>276</v>
      </c>
      <c r="G69">
        <v>302</v>
      </c>
      <c r="H69">
        <v>26</v>
      </c>
      <c r="I69" t="s">
        <v>136</v>
      </c>
    </row>
    <row r="70" spans="1:9" x14ac:dyDescent="0.2">
      <c r="A70" t="s">
        <v>119</v>
      </c>
      <c r="B70" s="5">
        <v>45778</v>
      </c>
      <c r="C70" s="5">
        <v>45961</v>
      </c>
      <c r="D70">
        <v>828</v>
      </c>
      <c r="E70">
        <v>465615</v>
      </c>
      <c r="F70">
        <v>5049</v>
      </c>
      <c r="G70">
        <v>6032</v>
      </c>
      <c r="H70">
        <v>983</v>
      </c>
      <c r="I70" t="s">
        <v>136</v>
      </c>
    </row>
    <row r="71" spans="1:9" x14ac:dyDescent="0.2">
      <c r="A71" t="s">
        <v>120</v>
      </c>
      <c r="B71" s="5">
        <v>45778</v>
      </c>
      <c r="C71" s="5">
        <v>45961</v>
      </c>
      <c r="D71">
        <v>106</v>
      </c>
      <c r="E71">
        <v>71153</v>
      </c>
      <c r="F71">
        <v>536</v>
      </c>
      <c r="G71">
        <v>476</v>
      </c>
      <c r="H71">
        <v>-60</v>
      </c>
      <c r="I71" t="s">
        <v>136</v>
      </c>
    </row>
    <row r="72" spans="1:9" x14ac:dyDescent="0.2">
      <c r="A72" t="s">
        <v>121</v>
      </c>
      <c r="B72" s="5">
        <v>45778</v>
      </c>
      <c r="C72" s="5">
        <v>45961</v>
      </c>
      <c r="D72">
        <v>234</v>
      </c>
      <c r="E72">
        <v>119109</v>
      </c>
      <c r="F72">
        <v>658</v>
      </c>
      <c r="G72">
        <v>509</v>
      </c>
      <c r="H72">
        <v>-149</v>
      </c>
      <c r="I72" t="s">
        <v>136</v>
      </c>
    </row>
    <row r="73" spans="1:9" x14ac:dyDescent="0.2">
      <c r="A73" t="s">
        <v>122</v>
      </c>
      <c r="B73" s="5">
        <v>45778</v>
      </c>
      <c r="C73" s="5">
        <v>45961</v>
      </c>
      <c r="D73">
        <v>194</v>
      </c>
      <c r="E73">
        <v>84475</v>
      </c>
      <c r="F73">
        <v>614</v>
      </c>
      <c r="G73">
        <v>454</v>
      </c>
      <c r="H73">
        <v>-160</v>
      </c>
      <c r="I73" t="s">
        <v>136</v>
      </c>
    </row>
    <row r="74" spans="1:9" x14ac:dyDescent="0.2">
      <c r="A74" t="s">
        <v>123</v>
      </c>
      <c r="B74" s="5">
        <v>45778</v>
      </c>
      <c r="C74" s="5">
        <v>45961</v>
      </c>
      <c r="D74">
        <v>87</v>
      </c>
      <c r="E74">
        <v>20246</v>
      </c>
      <c r="F74">
        <v>250</v>
      </c>
      <c r="G74">
        <v>215</v>
      </c>
      <c r="H74">
        <v>-35</v>
      </c>
      <c r="I74" t="s">
        <v>136</v>
      </c>
    </row>
    <row r="75" spans="1:9" x14ac:dyDescent="0.2">
      <c r="A75" t="s">
        <v>124</v>
      </c>
      <c r="B75" s="5">
        <v>45778</v>
      </c>
      <c r="C75" s="5">
        <v>45961</v>
      </c>
      <c r="D75">
        <v>1</v>
      </c>
      <c r="E75">
        <v>106</v>
      </c>
      <c r="F75">
        <v>0</v>
      </c>
      <c r="G75">
        <v>0</v>
      </c>
      <c r="H75">
        <v>0</v>
      </c>
      <c r="I75" t="s">
        <v>136</v>
      </c>
    </row>
    <row r="76" spans="1:9" x14ac:dyDescent="0.2">
      <c r="A76" t="s">
        <v>125</v>
      </c>
      <c r="B76" s="5">
        <v>45778</v>
      </c>
      <c r="C76" s="5">
        <v>45961</v>
      </c>
      <c r="D76">
        <v>0</v>
      </c>
      <c r="E76">
        <v>105</v>
      </c>
      <c r="F76">
        <v>0</v>
      </c>
      <c r="G76">
        <v>0</v>
      </c>
      <c r="H76">
        <v>0</v>
      </c>
      <c r="I76" t="s">
        <v>136</v>
      </c>
    </row>
    <row r="77" spans="1:9" x14ac:dyDescent="0.2">
      <c r="A77" t="s">
        <v>126</v>
      </c>
      <c r="B77" s="5">
        <v>45778</v>
      </c>
      <c r="C77" s="5">
        <v>45961</v>
      </c>
      <c r="D77">
        <v>115</v>
      </c>
      <c r="E77">
        <v>34649</v>
      </c>
      <c r="F77">
        <v>377</v>
      </c>
      <c r="G77">
        <v>132</v>
      </c>
      <c r="H77">
        <v>-245</v>
      </c>
      <c r="I77" t="s">
        <v>136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AF5BD-6F6C-C74A-9FD0-07049E734B47}">
  <dimension ref="A1:L77"/>
  <sheetViews>
    <sheetView workbookViewId="0">
      <selection activeCell="H14" sqref="H14"/>
    </sheetView>
  </sheetViews>
  <sheetFormatPr baseColWidth="10" defaultRowHeight="16" x14ac:dyDescent="0.2"/>
  <cols>
    <col min="1" max="1" width="31.1640625" bestFit="1" customWidth="1"/>
    <col min="2" max="2" width="12.1640625" bestFit="1" customWidth="1"/>
    <col min="3" max="3" width="11.1640625" bestFit="1" customWidth="1"/>
    <col min="4" max="4" width="7.5" bestFit="1" customWidth="1"/>
    <col min="5" max="5" width="10.5" bestFit="1" customWidth="1"/>
    <col min="6" max="6" width="14.33203125" bestFit="1" customWidth="1"/>
    <col min="7" max="7" width="31.83203125" bestFit="1" customWidth="1"/>
    <col min="8" max="8" width="28.83203125" bestFit="1" customWidth="1"/>
    <col min="9" max="9" width="36.83203125" bestFit="1" customWidth="1"/>
    <col min="10" max="10" width="34.5" bestFit="1" customWidth="1"/>
    <col min="11" max="11" width="45" bestFit="1" customWidth="1"/>
    <col min="12" max="12" width="80.6640625" bestFit="1" customWidth="1"/>
  </cols>
  <sheetData>
    <row r="1" spans="1:12" x14ac:dyDescent="0.2">
      <c r="A1" t="s">
        <v>0</v>
      </c>
      <c r="B1" t="s">
        <v>127</v>
      </c>
      <c r="C1" t="s">
        <v>128</v>
      </c>
      <c r="D1" t="s">
        <v>2</v>
      </c>
      <c r="E1" t="s">
        <v>3</v>
      </c>
      <c r="F1" t="s">
        <v>138</v>
      </c>
      <c r="G1" t="s">
        <v>143</v>
      </c>
      <c r="H1" t="s">
        <v>144</v>
      </c>
      <c r="I1" t="s">
        <v>145</v>
      </c>
      <c r="J1" t="s">
        <v>146</v>
      </c>
      <c r="K1" t="s">
        <v>147</v>
      </c>
      <c r="L1" t="s">
        <v>135</v>
      </c>
    </row>
    <row r="2" spans="1:12" x14ac:dyDescent="0.2">
      <c r="A2" t="s">
        <v>51</v>
      </c>
      <c r="B2" s="5">
        <v>45778</v>
      </c>
      <c r="C2" s="5">
        <v>45961</v>
      </c>
      <c r="D2">
        <v>184</v>
      </c>
      <c r="E2">
        <v>291</v>
      </c>
      <c r="F2">
        <v>185957</v>
      </c>
      <c r="G2">
        <v>144605</v>
      </c>
      <c r="H2">
        <v>144718</v>
      </c>
      <c r="I2">
        <v>144661.5</v>
      </c>
      <c r="J2">
        <v>785.89673913043475</v>
      </c>
      <c r="K2">
        <v>2.7006760794860303</v>
      </c>
      <c r="L2" t="s">
        <v>136</v>
      </c>
    </row>
    <row r="3" spans="1:12" x14ac:dyDescent="0.2">
      <c r="A3" t="s">
        <v>52</v>
      </c>
      <c r="B3" s="5">
        <v>45778</v>
      </c>
      <c r="C3" s="5">
        <v>45961</v>
      </c>
      <c r="D3">
        <v>184</v>
      </c>
      <c r="E3">
        <v>400</v>
      </c>
      <c r="F3">
        <v>284053</v>
      </c>
      <c r="G3">
        <v>200904</v>
      </c>
      <c r="H3">
        <v>200934</v>
      </c>
      <c r="I3">
        <v>200919</v>
      </c>
      <c r="J3">
        <v>1091.8695652173913</v>
      </c>
      <c r="K3">
        <v>2.7296739130434782</v>
      </c>
      <c r="L3" t="s">
        <v>136</v>
      </c>
    </row>
    <row r="4" spans="1:12" x14ac:dyDescent="0.2">
      <c r="A4" t="s">
        <v>53</v>
      </c>
      <c r="B4" s="5">
        <v>45778</v>
      </c>
      <c r="C4" s="5">
        <v>45961</v>
      </c>
      <c r="D4">
        <v>184</v>
      </c>
      <c r="E4">
        <v>272</v>
      </c>
      <c r="F4">
        <v>136747</v>
      </c>
      <c r="G4">
        <v>107336</v>
      </c>
      <c r="H4">
        <v>107954</v>
      </c>
      <c r="I4">
        <v>107645</v>
      </c>
      <c r="J4">
        <v>583.3478260869565</v>
      </c>
      <c r="K4">
        <v>2.144661125319693</v>
      </c>
      <c r="L4" t="s">
        <v>136</v>
      </c>
    </row>
    <row r="5" spans="1:12" x14ac:dyDescent="0.2">
      <c r="A5" t="s">
        <v>54</v>
      </c>
      <c r="B5" s="5">
        <v>45778</v>
      </c>
      <c r="C5" s="5">
        <v>45961</v>
      </c>
      <c r="D5">
        <v>184</v>
      </c>
      <c r="E5">
        <v>239</v>
      </c>
      <c r="F5">
        <v>46402</v>
      </c>
      <c r="G5">
        <v>36372</v>
      </c>
      <c r="H5">
        <v>36534</v>
      </c>
      <c r="I5">
        <v>36453</v>
      </c>
      <c r="J5">
        <v>197.67391304347825</v>
      </c>
      <c r="K5">
        <v>0.82708750227396755</v>
      </c>
      <c r="L5" t="s">
        <v>136</v>
      </c>
    </row>
    <row r="6" spans="1:12" x14ac:dyDescent="0.2">
      <c r="A6" t="s">
        <v>55</v>
      </c>
      <c r="B6" s="5">
        <v>45778</v>
      </c>
      <c r="C6" s="5">
        <v>45961</v>
      </c>
      <c r="D6">
        <v>184</v>
      </c>
      <c r="E6">
        <v>319</v>
      </c>
      <c r="F6">
        <v>423441</v>
      </c>
      <c r="G6">
        <v>424910</v>
      </c>
      <c r="H6">
        <v>425038</v>
      </c>
      <c r="I6">
        <v>424974</v>
      </c>
      <c r="J6">
        <v>2309.2934782608695</v>
      </c>
      <c r="K6">
        <v>7.2391645086547634</v>
      </c>
      <c r="L6" t="s">
        <v>136</v>
      </c>
    </row>
    <row r="7" spans="1:12" x14ac:dyDescent="0.2">
      <c r="A7" t="s">
        <v>56</v>
      </c>
      <c r="B7" s="5">
        <v>45778</v>
      </c>
      <c r="C7" s="5">
        <v>45961</v>
      </c>
      <c r="D7">
        <v>184</v>
      </c>
      <c r="E7">
        <v>445</v>
      </c>
      <c r="F7">
        <v>134717</v>
      </c>
      <c r="G7">
        <v>95997</v>
      </c>
      <c r="H7">
        <v>95913</v>
      </c>
      <c r="I7">
        <v>95955</v>
      </c>
      <c r="J7">
        <v>521.7228260869565</v>
      </c>
      <c r="K7">
        <v>1.1724108451392281</v>
      </c>
      <c r="L7" t="s">
        <v>136</v>
      </c>
    </row>
    <row r="8" spans="1:12" x14ac:dyDescent="0.2">
      <c r="A8" t="s">
        <v>57</v>
      </c>
      <c r="B8" s="5">
        <v>45778</v>
      </c>
      <c r="C8" s="5">
        <v>45961</v>
      </c>
      <c r="D8">
        <v>184</v>
      </c>
      <c r="E8">
        <v>27</v>
      </c>
      <c r="F8">
        <v>2322</v>
      </c>
      <c r="G8">
        <v>1402</v>
      </c>
      <c r="H8">
        <v>1409</v>
      </c>
      <c r="I8">
        <v>1405.5</v>
      </c>
      <c r="J8">
        <v>7.6195652173913047</v>
      </c>
      <c r="K8">
        <v>0.28220611916264093</v>
      </c>
      <c r="L8" t="s">
        <v>136</v>
      </c>
    </row>
    <row r="9" spans="1:12" x14ac:dyDescent="0.2">
      <c r="A9" t="s">
        <v>58</v>
      </c>
      <c r="B9" s="5">
        <v>45778</v>
      </c>
      <c r="C9" s="5">
        <v>45961</v>
      </c>
      <c r="D9">
        <v>184</v>
      </c>
      <c r="E9">
        <v>95</v>
      </c>
      <c r="F9">
        <v>56023</v>
      </c>
      <c r="G9">
        <v>39800</v>
      </c>
      <c r="H9">
        <v>39849</v>
      </c>
      <c r="I9">
        <v>39824.5</v>
      </c>
      <c r="J9">
        <v>216.30434782608697</v>
      </c>
      <c r="K9">
        <v>2.276887871853547</v>
      </c>
      <c r="L9" t="s">
        <v>136</v>
      </c>
    </row>
    <row r="10" spans="1:12" x14ac:dyDescent="0.2">
      <c r="A10" t="s">
        <v>59</v>
      </c>
      <c r="B10" s="5">
        <v>45778</v>
      </c>
      <c r="C10" s="5">
        <v>45961</v>
      </c>
      <c r="D10">
        <v>184</v>
      </c>
      <c r="E10">
        <v>414</v>
      </c>
      <c r="F10">
        <v>444316</v>
      </c>
      <c r="G10">
        <v>353746</v>
      </c>
      <c r="H10">
        <v>353767</v>
      </c>
      <c r="I10">
        <v>353756.5</v>
      </c>
      <c r="J10">
        <v>1922.5326086956522</v>
      </c>
      <c r="K10">
        <v>4.6437985717286283</v>
      </c>
      <c r="L10" t="s">
        <v>136</v>
      </c>
    </row>
    <row r="11" spans="1:12" x14ac:dyDescent="0.2">
      <c r="A11" t="s">
        <v>60</v>
      </c>
      <c r="B11" s="5">
        <v>45778</v>
      </c>
      <c r="C11" s="5">
        <v>45961</v>
      </c>
      <c r="D11">
        <v>184</v>
      </c>
      <c r="E11">
        <v>200</v>
      </c>
      <c r="F11">
        <v>65404</v>
      </c>
      <c r="G11">
        <v>43752</v>
      </c>
      <c r="H11">
        <v>43783</v>
      </c>
      <c r="I11">
        <v>43767.5</v>
      </c>
      <c r="J11">
        <v>237.78260869565219</v>
      </c>
      <c r="K11">
        <v>1.1889130434782609</v>
      </c>
      <c r="L11" t="s">
        <v>136</v>
      </c>
    </row>
    <row r="12" spans="1:12" x14ac:dyDescent="0.2">
      <c r="A12" t="s">
        <v>61</v>
      </c>
      <c r="B12" s="5">
        <v>45778</v>
      </c>
      <c r="C12" s="5">
        <v>45961</v>
      </c>
      <c r="D12">
        <v>184</v>
      </c>
      <c r="E12">
        <v>245</v>
      </c>
      <c r="F12">
        <v>131837</v>
      </c>
      <c r="G12">
        <v>94017</v>
      </c>
      <c r="H12">
        <v>93992</v>
      </c>
      <c r="I12">
        <v>94004.5</v>
      </c>
      <c r="J12">
        <v>510.96195652173913</v>
      </c>
      <c r="K12">
        <v>2.08555900621118</v>
      </c>
      <c r="L12" t="s">
        <v>136</v>
      </c>
    </row>
    <row r="13" spans="1:12" x14ac:dyDescent="0.2">
      <c r="A13" t="s">
        <v>62</v>
      </c>
      <c r="B13" s="5">
        <v>45778</v>
      </c>
      <c r="C13" s="5">
        <v>45961</v>
      </c>
      <c r="D13">
        <v>184</v>
      </c>
      <c r="E13">
        <v>1169</v>
      </c>
      <c r="F13">
        <v>1042041</v>
      </c>
      <c r="G13">
        <v>980027</v>
      </c>
      <c r="H13">
        <v>980762</v>
      </c>
      <c r="I13">
        <v>980394.5</v>
      </c>
      <c r="J13">
        <v>5326.233695652174</v>
      </c>
      <c r="K13">
        <v>4.5562307062892851</v>
      </c>
      <c r="L13" t="s">
        <v>136</v>
      </c>
    </row>
    <row r="14" spans="1:12" s="7" customFormat="1" x14ac:dyDescent="0.2">
      <c r="A14" s="7" t="s">
        <v>63</v>
      </c>
      <c r="B14" s="8">
        <v>45778</v>
      </c>
      <c r="C14" s="8">
        <v>45961</v>
      </c>
      <c r="D14" s="7">
        <v>184</v>
      </c>
      <c r="E14" s="7">
        <v>168</v>
      </c>
      <c r="F14" s="7">
        <v>187217</v>
      </c>
      <c r="G14" s="7">
        <v>172914</v>
      </c>
      <c r="H14" s="7">
        <v>172835</v>
      </c>
      <c r="I14" s="7">
        <v>172874.5</v>
      </c>
      <c r="J14" s="7">
        <v>939.75</v>
      </c>
      <c r="K14" s="7">
        <v>5.59375</v>
      </c>
      <c r="L14" s="7" t="s">
        <v>136</v>
      </c>
    </row>
    <row r="15" spans="1:12" s="7" customFormat="1" x14ac:dyDescent="0.2">
      <c r="A15" s="7" t="s">
        <v>64</v>
      </c>
      <c r="B15" s="8">
        <v>45778</v>
      </c>
      <c r="C15" s="8">
        <v>45961</v>
      </c>
      <c r="D15" s="7">
        <v>184</v>
      </c>
      <c r="E15" s="7">
        <v>984</v>
      </c>
      <c r="F15" s="7">
        <v>613206</v>
      </c>
      <c r="G15" s="7">
        <v>475065</v>
      </c>
      <c r="H15" s="7">
        <v>475104</v>
      </c>
      <c r="I15" s="7">
        <v>475084.5</v>
      </c>
      <c r="J15" s="7">
        <v>2581.875</v>
      </c>
      <c r="K15" s="7">
        <v>2.6238567073170733</v>
      </c>
      <c r="L15" s="7" t="s">
        <v>136</v>
      </c>
    </row>
    <row r="16" spans="1:12" x14ac:dyDescent="0.2">
      <c r="A16" t="s">
        <v>65</v>
      </c>
      <c r="B16" s="5">
        <v>45778</v>
      </c>
      <c r="C16" s="5">
        <v>45961</v>
      </c>
      <c r="D16">
        <v>184</v>
      </c>
      <c r="E16">
        <v>262</v>
      </c>
      <c r="F16">
        <v>72093</v>
      </c>
      <c r="G16">
        <v>51737</v>
      </c>
      <c r="H16">
        <v>51795</v>
      </c>
      <c r="I16">
        <v>51766</v>
      </c>
      <c r="J16">
        <v>281.17934782608694</v>
      </c>
      <c r="K16">
        <v>1.0732036176568205</v>
      </c>
      <c r="L16" t="s">
        <v>136</v>
      </c>
    </row>
    <row r="17" spans="1:12" x14ac:dyDescent="0.2">
      <c r="A17" t="s">
        <v>66</v>
      </c>
      <c r="B17" s="5">
        <v>45778</v>
      </c>
      <c r="C17" s="5">
        <v>45961</v>
      </c>
      <c r="D17">
        <v>184</v>
      </c>
      <c r="E17">
        <v>294</v>
      </c>
      <c r="F17">
        <v>146346</v>
      </c>
      <c r="G17">
        <v>92668</v>
      </c>
      <c r="H17">
        <v>92893</v>
      </c>
      <c r="I17">
        <v>92780.5</v>
      </c>
      <c r="J17">
        <v>503.63043478260869</v>
      </c>
      <c r="K17">
        <v>1.7130286897367641</v>
      </c>
      <c r="L17" t="s">
        <v>136</v>
      </c>
    </row>
    <row r="18" spans="1:12" x14ac:dyDescent="0.2">
      <c r="A18" t="s">
        <v>67</v>
      </c>
      <c r="B18" s="5">
        <v>45778</v>
      </c>
      <c r="C18" s="5">
        <v>45961</v>
      </c>
      <c r="D18">
        <v>184</v>
      </c>
      <c r="E18">
        <v>316</v>
      </c>
      <c r="F18">
        <v>42317</v>
      </c>
      <c r="G18">
        <v>26156</v>
      </c>
      <c r="H18">
        <v>26008</v>
      </c>
      <c r="I18">
        <v>26082</v>
      </c>
      <c r="J18">
        <v>142.15217391304347</v>
      </c>
      <c r="K18">
        <v>0.44984865162355531</v>
      </c>
      <c r="L18" t="s">
        <v>136</v>
      </c>
    </row>
    <row r="19" spans="1:12" x14ac:dyDescent="0.2">
      <c r="A19" t="s">
        <v>68</v>
      </c>
      <c r="B19" s="5">
        <v>45778</v>
      </c>
      <c r="C19" s="5">
        <v>45961</v>
      </c>
      <c r="D19">
        <v>184</v>
      </c>
      <c r="E19">
        <v>85</v>
      </c>
      <c r="F19">
        <v>7610</v>
      </c>
      <c r="G19">
        <v>4613</v>
      </c>
      <c r="H19">
        <v>4635</v>
      </c>
      <c r="I19">
        <v>4624</v>
      </c>
      <c r="J19">
        <v>25.070652173913043</v>
      </c>
      <c r="K19">
        <v>0.29494884910485936</v>
      </c>
      <c r="L19" t="s">
        <v>136</v>
      </c>
    </row>
    <row r="20" spans="1:12" x14ac:dyDescent="0.2">
      <c r="A20" t="s">
        <v>69</v>
      </c>
      <c r="B20" s="5">
        <v>45778</v>
      </c>
      <c r="C20" s="5">
        <v>45961</v>
      </c>
      <c r="D20">
        <v>184</v>
      </c>
      <c r="E20">
        <v>438</v>
      </c>
      <c r="F20">
        <v>81494</v>
      </c>
      <c r="G20">
        <v>55702</v>
      </c>
      <c r="H20">
        <v>55400</v>
      </c>
      <c r="I20">
        <v>55551</v>
      </c>
      <c r="J20">
        <v>302.72826086956519</v>
      </c>
      <c r="K20">
        <v>0.69116041294421271</v>
      </c>
      <c r="L20" t="s">
        <v>136</v>
      </c>
    </row>
    <row r="21" spans="1:12" x14ac:dyDescent="0.2">
      <c r="A21" t="s">
        <v>70</v>
      </c>
      <c r="B21" s="5">
        <v>45778</v>
      </c>
      <c r="C21" s="5">
        <v>45961</v>
      </c>
      <c r="D21">
        <v>184</v>
      </c>
      <c r="E21">
        <v>1183</v>
      </c>
      <c r="F21">
        <v>96841</v>
      </c>
      <c r="G21">
        <v>53679</v>
      </c>
      <c r="H21">
        <v>53285</v>
      </c>
      <c r="I21">
        <v>53482</v>
      </c>
      <c r="J21">
        <v>291.73369565217394</v>
      </c>
      <c r="K21">
        <v>0.24660498364511743</v>
      </c>
      <c r="L21" t="s">
        <v>136</v>
      </c>
    </row>
    <row r="22" spans="1:12" x14ac:dyDescent="0.2">
      <c r="A22" t="s">
        <v>71</v>
      </c>
      <c r="B22" s="5">
        <v>45778</v>
      </c>
      <c r="C22" s="5">
        <v>45961</v>
      </c>
      <c r="D22">
        <v>184</v>
      </c>
      <c r="E22">
        <v>6696</v>
      </c>
      <c r="F22">
        <v>563711</v>
      </c>
      <c r="G22">
        <v>320826</v>
      </c>
      <c r="H22">
        <v>319988</v>
      </c>
      <c r="I22">
        <v>320407</v>
      </c>
      <c r="J22">
        <v>1743.6195652173913</v>
      </c>
      <c r="K22">
        <v>0.26039718715910859</v>
      </c>
      <c r="L22" t="s">
        <v>136</v>
      </c>
    </row>
    <row r="23" spans="1:12" x14ac:dyDescent="0.2">
      <c r="A23" t="s">
        <v>72</v>
      </c>
      <c r="B23" s="5">
        <v>45778</v>
      </c>
      <c r="C23" s="5">
        <v>45961</v>
      </c>
      <c r="D23">
        <v>184</v>
      </c>
      <c r="E23">
        <v>280</v>
      </c>
      <c r="F23">
        <v>59432</v>
      </c>
      <c r="G23">
        <v>36459</v>
      </c>
      <c r="H23">
        <v>36424</v>
      </c>
      <c r="I23">
        <v>36441.5</v>
      </c>
      <c r="J23">
        <v>198.14673913043478</v>
      </c>
      <c r="K23">
        <v>0.70766692546583854</v>
      </c>
      <c r="L23" t="s">
        <v>136</v>
      </c>
    </row>
    <row r="24" spans="1:12" x14ac:dyDescent="0.2">
      <c r="A24" t="s">
        <v>73</v>
      </c>
      <c r="B24" s="5">
        <v>45778</v>
      </c>
      <c r="C24" s="5">
        <v>45961</v>
      </c>
      <c r="D24">
        <v>184</v>
      </c>
      <c r="E24">
        <v>256</v>
      </c>
      <c r="F24">
        <v>24718</v>
      </c>
      <c r="G24">
        <v>14550</v>
      </c>
      <c r="H24">
        <v>14287</v>
      </c>
      <c r="I24">
        <v>14418.5</v>
      </c>
      <c r="J24">
        <v>79.076086956521735</v>
      </c>
      <c r="K24">
        <v>0.30889096467391303</v>
      </c>
      <c r="L24" t="s">
        <v>136</v>
      </c>
    </row>
    <row r="25" spans="1:12" x14ac:dyDescent="0.2">
      <c r="A25" t="s">
        <v>74</v>
      </c>
      <c r="B25" s="5">
        <v>45778</v>
      </c>
      <c r="C25" s="5">
        <v>45961</v>
      </c>
      <c r="D25">
        <v>184</v>
      </c>
      <c r="E25">
        <v>126</v>
      </c>
      <c r="F25">
        <v>84372</v>
      </c>
      <c r="G25">
        <v>64476</v>
      </c>
      <c r="H25">
        <v>64459</v>
      </c>
      <c r="I25">
        <v>64467.5</v>
      </c>
      <c r="J25">
        <v>350.41304347826087</v>
      </c>
      <c r="K25">
        <v>2.781055900621118</v>
      </c>
      <c r="L25" t="s">
        <v>136</v>
      </c>
    </row>
    <row r="26" spans="1:12" x14ac:dyDescent="0.2">
      <c r="A26" t="s">
        <v>75</v>
      </c>
      <c r="B26" s="5">
        <v>45778</v>
      </c>
      <c r="C26" s="5">
        <v>45961</v>
      </c>
      <c r="D26">
        <v>184</v>
      </c>
      <c r="E26">
        <v>154</v>
      </c>
      <c r="F26">
        <v>39268</v>
      </c>
      <c r="G26">
        <v>23619</v>
      </c>
      <c r="H26">
        <v>23684</v>
      </c>
      <c r="I26">
        <v>23651.5</v>
      </c>
      <c r="J26">
        <v>128.3641304347826</v>
      </c>
      <c r="K26">
        <v>0.83353331451157531</v>
      </c>
      <c r="L26" t="s">
        <v>136</v>
      </c>
    </row>
    <row r="27" spans="1:12" x14ac:dyDescent="0.2">
      <c r="A27" t="s">
        <v>76</v>
      </c>
      <c r="B27" s="5">
        <v>45778</v>
      </c>
      <c r="C27" s="5">
        <v>45961</v>
      </c>
      <c r="D27">
        <v>184</v>
      </c>
      <c r="E27">
        <v>3</v>
      </c>
      <c r="F27">
        <v>4</v>
      </c>
      <c r="G27">
        <v>6</v>
      </c>
      <c r="H27">
        <v>5</v>
      </c>
      <c r="I27">
        <v>5.5</v>
      </c>
      <c r="J27">
        <v>3.2608695652173912E-2</v>
      </c>
      <c r="K27">
        <v>1.0869565217391304E-2</v>
      </c>
      <c r="L27" t="s">
        <v>136</v>
      </c>
    </row>
    <row r="28" spans="1:12" x14ac:dyDescent="0.2">
      <c r="A28" t="s">
        <v>77</v>
      </c>
      <c r="B28" s="5">
        <v>45778</v>
      </c>
      <c r="C28" s="5">
        <v>45961</v>
      </c>
      <c r="D28">
        <v>184</v>
      </c>
      <c r="E28">
        <v>635</v>
      </c>
      <c r="F28">
        <v>910925</v>
      </c>
      <c r="G28">
        <v>728140</v>
      </c>
      <c r="H28">
        <v>726989</v>
      </c>
      <c r="I28">
        <v>727564.5</v>
      </c>
      <c r="J28">
        <v>3957.282608695652</v>
      </c>
      <c r="K28">
        <v>6.2319411160561451</v>
      </c>
      <c r="L28" t="s">
        <v>136</v>
      </c>
    </row>
    <row r="29" spans="1:12" x14ac:dyDescent="0.2">
      <c r="A29" t="s">
        <v>78</v>
      </c>
      <c r="B29" s="5">
        <v>45778</v>
      </c>
      <c r="C29" s="5">
        <v>45961</v>
      </c>
      <c r="D29">
        <v>184</v>
      </c>
      <c r="E29">
        <v>0</v>
      </c>
      <c r="F29">
        <v>0</v>
      </c>
      <c r="L29" t="s">
        <v>136</v>
      </c>
    </row>
    <row r="30" spans="1:12" x14ac:dyDescent="0.2">
      <c r="A30" t="s">
        <v>79</v>
      </c>
      <c r="B30" s="5">
        <v>45778</v>
      </c>
      <c r="C30" s="5">
        <v>45961</v>
      </c>
      <c r="D30">
        <v>184</v>
      </c>
      <c r="E30">
        <v>255</v>
      </c>
      <c r="F30">
        <v>212755</v>
      </c>
      <c r="G30">
        <v>149662</v>
      </c>
      <c r="H30">
        <v>149559</v>
      </c>
      <c r="I30">
        <v>149610.5</v>
      </c>
      <c r="J30">
        <v>813.38043478260875</v>
      </c>
      <c r="K30">
        <v>3.1897271952259167</v>
      </c>
      <c r="L30" t="s">
        <v>136</v>
      </c>
    </row>
    <row r="31" spans="1:12" x14ac:dyDescent="0.2">
      <c r="A31" t="s">
        <v>80</v>
      </c>
      <c r="B31" s="5">
        <v>45778</v>
      </c>
      <c r="C31" s="5">
        <v>45961</v>
      </c>
      <c r="D31">
        <v>184</v>
      </c>
      <c r="E31">
        <v>278</v>
      </c>
      <c r="F31">
        <v>363336</v>
      </c>
      <c r="G31">
        <v>305977</v>
      </c>
      <c r="H31">
        <v>305792</v>
      </c>
      <c r="I31">
        <v>305884.5</v>
      </c>
      <c r="J31">
        <v>1662.9184782608695</v>
      </c>
      <c r="K31">
        <v>5.9817211448232719</v>
      </c>
      <c r="L31" t="s">
        <v>136</v>
      </c>
    </row>
    <row r="32" spans="1:12" x14ac:dyDescent="0.2">
      <c r="A32" t="s">
        <v>81</v>
      </c>
      <c r="B32" s="5">
        <v>45778</v>
      </c>
      <c r="C32" s="5">
        <v>45961</v>
      </c>
      <c r="D32">
        <v>184</v>
      </c>
      <c r="E32">
        <v>68</v>
      </c>
      <c r="F32">
        <v>18714</v>
      </c>
      <c r="G32">
        <v>12966</v>
      </c>
      <c r="H32">
        <v>12944</v>
      </c>
      <c r="I32">
        <v>12955</v>
      </c>
      <c r="J32">
        <v>70.467391304347828</v>
      </c>
      <c r="K32">
        <v>1.0362851662404093</v>
      </c>
      <c r="L32" t="s">
        <v>136</v>
      </c>
    </row>
    <row r="33" spans="1:12" x14ac:dyDescent="0.2">
      <c r="A33" t="s">
        <v>82</v>
      </c>
      <c r="B33" s="5">
        <v>45778</v>
      </c>
      <c r="C33" s="5">
        <v>45961</v>
      </c>
      <c r="D33">
        <v>184</v>
      </c>
      <c r="E33">
        <v>52</v>
      </c>
      <c r="F33">
        <v>29073</v>
      </c>
      <c r="G33">
        <v>21308</v>
      </c>
      <c r="H33">
        <v>21343</v>
      </c>
      <c r="I33">
        <v>21325.5</v>
      </c>
      <c r="J33">
        <v>115.80434782608695</v>
      </c>
      <c r="K33">
        <v>2.2270066889632107</v>
      </c>
      <c r="L33" t="s">
        <v>136</v>
      </c>
    </row>
    <row r="34" spans="1:12" x14ac:dyDescent="0.2">
      <c r="A34" t="s">
        <v>83</v>
      </c>
      <c r="B34" s="5">
        <v>45778</v>
      </c>
      <c r="C34" s="5">
        <v>45961</v>
      </c>
      <c r="D34">
        <v>184</v>
      </c>
      <c r="E34">
        <v>44</v>
      </c>
      <c r="F34">
        <v>11459</v>
      </c>
      <c r="G34">
        <v>7698</v>
      </c>
      <c r="H34">
        <v>7651</v>
      </c>
      <c r="I34">
        <v>7674.5</v>
      </c>
      <c r="J34">
        <v>41.836956521739133</v>
      </c>
      <c r="K34">
        <v>0.95083992094861669</v>
      </c>
      <c r="L34" t="s">
        <v>136</v>
      </c>
    </row>
    <row r="35" spans="1:12" x14ac:dyDescent="0.2">
      <c r="A35" t="s">
        <v>84</v>
      </c>
      <c r="B35" s="5">
        <v>45778</v>
      </c>
      <c r="C35" s="5">
        <v>45961</v>
      </c>
      <c r="D35">
        <v>184</v>
      </c>
      <c r="E35">
        <v>59</v>
      </c>
      <c r="F35">
        <v>57794</v>
      </c>
      <c r="G35">
        <v>47771</v>
      </c>
      <c r="H35">
        <v>47673</v>
      </c>
      <c r="I35">
        <v>47722</v>
      </c>
      <c r="J35">
        <v>259.625</v>
      </c>
      <c r="K35">
        <v>4.4004237288135597</v>
      </c>
      <c r="L35" t="s">
        <v>136</v>
      </c>
    </row>
    <row r="36" spans="1:12" x14ac:dyDescent="0.2">
      <c r="A36" t="s">
        <v>85</v>
      </c>
      <c r="B36" s="5">
        <v>45778</v>
      </c>
      <c r="C36" s="5">
        <v>45961</v>
      </c>
      <c r="D36">
        <v>184</v>
      </c>
      <c r="E36">
        <v>0</v>
      </c>
      <c r="F36">
        <v>0</v>
      </c>
      <c r="L36" t="s">
        <v>136</v>
      </c>
    </row>
    <row r="37" spans="1:12" x14ac:dyDescent="0.2">
      <c r="A37" t="s">
        <v>86</v>
      </c>
      <c r="B37" s="5">
        <v>45778</v>
      </c>
      <c r="C37" s="5">
        <v>45961</v>
      </c>
      <c r="D37">
        <v>184</v>
      </c>
      <c r="E37">
        <v>432</v>
      </c>
      <c r="F37">
        <v>657614</v>
      </c>
      <c r="G37">
        <v>602852</v>
      </c>
      <c r="H37">
        <v>602990</v>
      </c>
      <c r="I37">
        <v>602921</v>
      </c>
      <c r="J37">
        <v>3276.3695652173915</v>
      </c>
      <c r="K37">
        <v>7.5841888083735913</v>
      </c>
      <c r="L37" t="s">
        <v>136</v>
      </c>
    </row>
    <row r="38" spans="1:12" x14ac:dyDescent="0.2">
      <c r="A38" t="s">
        <v>87</v>
      </c>
      <c r="B38" s="5">
        <v>45778</v>
      </c>
      <c r="C38" s="5">
        <v>45961</v>
      </c>
      <c r="D38">
        <v>184</v>
      </c>
      <c r="L38" t="s">
        <v>148</v>
      </c>
    </row>
    <row r="39" spans="1:12" x14ac:dyDescent="0.2">
      <c r="A39" t="s">
        <v>88</v>
      </c>
      <c r="B39" s="5">
        <v>45778</v>
      </c>
      <c r="C39" s="5">
        <v>45961</v>
      </c>
      <c r="D39">
        <v>184</v>
      </c>
      <c r="E39">
        <v>0</v>
      </c>
      <c r="F39">
        <v>0</v>
      </c>
      <c r="L39" t="s">
        <v>136</v>
      </c>
    </row>
    <row r="40" spans="1:12" x14ac:dyDescent="0.2">
      <c r="A40" t="s">
        <v>89</v>
      </c>
      <c r="B40" s="5">
        <v>45778</v>
      </c>
      <c r="C40" s="5">
        <v>45961</v>
      </c>
      <c r="D40">
        <v>184</v>
      </c>
      <c r="E40">
        <v>37</v>
      </c>
      <c r="F40">
        <v>45959</v>
      </c>
      <c r="G40">
        <v>36615</v>
      </c>
      <c r="H40">
        <v>36592</v>
      </c>
      <c r="I40">
        <v>36603.5</v>
      </c>
      <c r="J40">
        <v>198.99456521739131</v>
      </c>
      <c r="K40">
        <v>5.3782314923619277</v>
      </c>
      <c r="L40" t="s">
        <v>136</v>
      </c>
    </row>
    <row r="41" spans="1:12" x14ac:dyDescent="0.2">
      <c r="A41" t="s">
        <v>90</v>
      </c>
      <c r="B41" s="5">
        <v>45778</v>
      </c>
      <c r="C41" s="5">
        <v>45961</v>
      </c>
      <c r="D41">
        <v>184</v>
      </c>
      <c r="E41">
        <v>125</v>
      </c>
      <c r="F41">
        <v>121128</v>
      </c>
      <c r="G41">
        <v>98595</v>
      </c>
      <c r="H41">
        <v>98630</v>
      </c>
      <c r="I41">
        <v>98612.5</v>
      </c>
      <c r="J41">
        <v>535.84239130434787</v>
      </c>
      <c r="K41">
        <v>4.2867391304347828</v>
      </c>
      <c r="L41" t="s">
        <v>136</v>
      </c>
    </row>
    <row r="42" spans="1:12" x14ac:dyDescent="0.2">
      <c r="A42" t="s">
        <v>91</v>
      </c>
      <c r="B42" s="5">
        <v>45778</v>
      </c>
      <c r="C42" s="5">
        <v>45961</v>
      </c>
      <c r="D42">
        <v>184</v>
      </c>
      <c r="E42">
        <v>1469</v>
      </c>
      <c r="F42">
        <v>2455634</v>
      </c>
      <c r="G42">
        <v>2391746</v>
      </c>
      <c r="H42">
        <v>2391887</v>
      </c>
      <c r="I42">
        <v>2391816.5</v>
      </c>
      <c r="J42">
        <v>12998.619565217392</v>
      </c>
      <c r="K42">
        <v>8.8486178115843384</v>
      </c>
      <c r="L42" t="s">
        <v>136</v>
      </c>
    </row>
    <row r="43" spans="1:12" x14ac:dyDescent="0.2">
      <c r="A43" t="s">
        <v>92</v>
      </c>
      <c r="B43" s="5">
        <v>45778</v>
      </c>
      <c r="C43" s="5">
        <v>45961</v>
      </c>
      <c r="D43">
        <v>184</v>
      </c>
      <c r="E43">
        <v>428</v>
      </c>
      <c r="F43">
        <v>608020</v>
      </c>
      <c r="G43">
        <v>480514</v>
      </c>
      <c r="H43">
        <v>480785</v>
      </c>
      <c r="I43">
        <v>480649.5</v>
      </c>
      <c r="J43">
        <v>2611.4891304347825</v>
      </c>
      <c r="K43">
        <v>6.1016101178382769</v>
      </c>
      <c r="L43" t="s">
        <v>136</v>
      </c>
    </row>
    <row r="44" spans="1:12" x14ac:dyDescent="0.2">
      <c r="A44" t="s">
        <v>93</v>
      </c>
      <c r="B44" s="5">
        <v>45778</v>
      </c>
      <c r="C44" s="5">
        <v>45961</v>
      </c>
      <c r="D44">
        <v>184</v>
      </c>
      <c r="E44">
        <v>223</v>
      </c>
      <c r="F44">
        <v>251236</v>
      </c>
      <c r="G44">
        <v>194467</v>
      </c>
      <c r="H44">
        <v>194488</v>
      </c>
      <c r="I44">
        <v>194477.5</v>
      </c>
      <c r="J44">
        <v>1056.8858695652175</v>
      </c>
      <c r="K44">
        <v>4.7393985182296747</v>
      </c>
      <c r="L44" t="s">
        <v>136</v>
      </c>
    </row>
    <row r="45" spans="1:12" x14ac:dyDescent="0.2">
      <c r="A45" t="s">
        <v>94</v>
      </c>
      <c r="B45" s="5">
        <v>45778</v>
      </c>
      <c r="C45" s="5">
        <v>45961</v>
      </c>
      <c r="D45">
        <v>184</v>
      </c>
      <c r="E45">
        <v>114</v>
      </c>
      <c r="F45">
        <v>141624</v>
      </c>
      <c r="G45">
        <v>127942</v>
      </c>
      <c r="H45">
        <v>127987</v>
      </c>
      <c r="I45">
        <v>127964.5</v>
      </c>
      <c r="J45">
        <v>695.33695652173913</v>
      </c>
      <c r="K45">
        <v>6.099446987032799</v>
      </c>
      <c r="L45" t="s">
        <v>136</v>
      </c>
    </row>
    <row r="46" spans="1:12" x14ac:dyDescent="0.2">
      <c r="A46" t="s">
        <v>95</v>
      </c>
      <c r="B46" s="5">
        <v>45778</v>
      </c>
      <c r="C46" s="5">
        <v>45961</v>
      </c>
      <c r="D46">
        <v>184</v>
      </c>
      <c r="E46">
        <v>324</v>
      </c>
      <c r="F46">
        <v>372105</v>
      </c>
      <c r="G46">
        <v>264094</v>
      </c>
      <c r="H46">
        <v>263953</v>
      </c>
      <c r="I46">
        <v>264023.5</v>
      </c>
      <c r="J46">
        <v>1435.2934782608695</v>
      </c>
      <c r="K46">
        <v>4.429918142780461</v>
      </c>
      <c r="L46" t="s">
        <v>136</v>
      </c>
    </row>
    <row r="47" spans="1:12" x14ac:dyDescent="0.2">
      <c r="A47" t="s">
        <v>96</v>
      </c>
      <c r="B47" s="5">
        <v>45778</v>
      </c>
      <c r="C47" s="5">
        <v>45961</v>
      </c>
      <c r="D47">
        <v>184</v>
      </c>
      <c r="E47">
        <v>1699</v>
      </c>
      <c r="F47">
        <v>1478899</v>
      </c>
      <c r="G47">
        <v>906806</v>
      </c>
      <c r="H47">
        <v>906274</v>
      </c>
      <c r="I47">
        <v>906540</v>
      </c>
      <c r="J47">
        <v>4928.29347826087</v>
      </c>
      <c r="K47">
        <v>2.9007024592471278</v>
      </c>
      <c r="L47" t="s">
        <v>136</v>
      </c>
    </row>
    <row r="48" spans="1:12" x14ac:dyDescent="0.2">
      <c r="A48" t="s">
        <v>97</v>
      </c>
      <c r="B48" s="5">
        <v>45778</v>
      </c>
      <c r="C48" s="5">
        <v>45961</v>
      </c>
      <c r="D48">
        <v>184</v>
      </c>
      <c r="E48">
        <v>23</v>
      </c>
      <c r="F48">
        <v>10375</v>
      </c>
      <c r="G48">
        <v>7319</v>
      </c>
      <c r="H48">
        <v>7290</v>
      </c>
      <c r="I48">
        <v>7304.5</v>
      </c>
      <c r="J48">
        <v>39.777173913043477</v>
      </c>
      <c r="K48">
        <v>1.7294423440453686</v>
      </c>
      <c r="L48" t="s">
        <v>136</v>
      </c>
    </row>
    <row r="49" spans="1:12" x14ac:dyDescent="0.2">
      <c r="A49" t="s">
        <v>98</v>
      </c>
      <c r="B49" s="5">
        <v>45778</v>
      </c>
      <c r="C49" s="5">
        <v>45961</v>
      </c>
      <c r="D49">
        <v>184</v>
      </c>
      <c r="E49">
        <v>36</v>
      </c>
      <c r="F49">
        <v>13766</v>
      </c>
      <c r="G49">
        <v>9242</v>
      </c>
      <c r="H49">
        <v>9178</v>
      </c>
      <c r="I49">
        <v>9210</v>
      </c>
      <c r="J49">
        <v>50.228260869565219</v>
      </c>
      <c r="K49">
        <v>1.3952294685990339</v>
      </c>
      <c r="L49" t="s">
        <v>136</v>
      </c>
    </row>
    <row r="50" spans="1:12" x14ac:dyDescent="0.2">
      <c r="A50" t="s">
        <v>99</v>
      </c>
      <c r="B50" s="5">
        <v>45778</v>
      </c>
      <c r="C50" s="5">
        <v>45961</v>
      </c>
      <c r="D50">
        <v>184</v>
      </c>
      <c r="E50">
        <v>147</v>
      </c>
      <c r="F50">
        <v>146285</v>
      </c>
      <c r="G50">
        <v>105819</v>
      </c>
      <c r="H50">
        <v>105369</v>
      </c>
      <c r="I50">
        <v>105594</v>
      </c>
      <c r="J50">
        <v>575.10326086956525</v>
      </c>
      <c r="K50">
        <v>3.9122670807453419</v>
      </c>
      <c r="L50" t="s">
        <v>136</v>
      </c>
    </row>
    <row r="51" spans="1:12" x14ac:dyDescent="0.2">
      <c r="A51" t="s">
        <v>100</v>
      </c>
      <c r="B51" s="5">
        <v>45778</v>
      </c>
      <c r="C51" s="5">
        <v>45961</v>
      </c>
      <c r="D51">
        <v>184</v>
      </c>
      <c r="E51">
        <v>372</v>
      </c>
      <c r="F51">
        <v>321773</v>
      </c>
      <c r="G51">
        <v>253976</v>
      </c>
      <c r="H51">
        <v>252995</v>
      </c>
      <c r="I51">
        <v>253485.5</v>
      </c>
      <c r="J51">
        <v>1380.304347826087</v>
      </c>
      <c r="K51">
        <v>3.7104955586722768</v>
      </c>
      <c r="L51" t="s">
        <v>136</v>
      </c>
    </row>
    <row r="52" spans="1:12" s="7" customFormat="1" x14ac:dyDescent="0.2">
      <c r="A52" s="7" t="s">
        <v>101</v>
      </c>
      <c r="B52" s="8">
        <v>45778</v>
      </c>
      <c r="C52" s="8">
        <v>45961</v>
      </c>
      <c r="D52" s="7">
        <v>184</v>
      </c>
      <c r="E52" s="7">
        <v>678</v>
      </c>
      <c r="F52" s="7">
        <v>979858</v>
      </c>
      <c r="G52" s="7">
        <v>1120802</v>
      </c>
      <c r="H52" s="7">
        <v>1121144</v>
      </c>
      <c r="I52" s="7">
        <v>1120973</v>
      </c>
      <c r="J52" s="7">
        <v>6091.315217391304</v>
      </c>
      <c r="K52" s="7">
        <v>8.9842407336154935</v>
      </c>
      <c r="L52" s="7" t="s">
        <v>136</v>
      </c>
    </row>
    <row r="53" spans="1:12" x14ac:dyDescent="0.2">
      <c r="A53" t="s">
        <v>102</v>
      </c>
      <c r="B53" s="5">
        <v>45778</v>
      </c>
      <c r="C53" s="5">
        <v>45961</v>
      </c>
      <c r="D53">
        <v>184</v>
      </c>
      <c r="E53">
        <v>109</v>
      </c>
      <c r="F53">
        <v>55181</v>
      </c>
      <c r="G53">
        <v>35662</v>
      </c>
      <c r="H53">
        <v>35161</v>
      </c>
      <c r="I53">
        <v>35411.5</v>
      </c>
      <c r="J53">
        <v>193.81521739130434</v>
      </c>
      <c r="K53">
        <v>1.778121260470682</v>
      </c>
      <c r="L53" t="s">
        <v>136</v>
      </c>
    </row>
    <row r="54" spans="1:12" x14ac:dyDescent="0.2">
      <c r="A54" t="s">
        <v>103</v>
      </c>
      <c r="B54" s="5">
        <v>45778</v>
      </c>
      <c r="C54" s="5">
        <v>45961</v>
      </c>
      <c r="D54">
        <v>184</v>
      </c>
      <c r="E54">
        <v>6</v>
      </c>
      <c r="F54">
        <v>1881</v>
      </c>
      <c r="G54">
        <v>1151</v>
      </c>
      <c r="H54">
        <v>1137</v>
      </c>
      <c r="I54">
        <v>1144</v>
      </c>
      <c r="J54">
        <v>6.2554347826086953</v>
      </c>
      <c r="K54">
        <v>1.042572463768116</v>
      </c>
      <c r="L54" t="s">
        <v>136</v>
      </c>
    </row>
    <row r="55" spans="1:12" x14ac:dyDescent="0.2">
      <c r="A55" t="s">
        <v>104</v>
      </c>
      <c r="B55" s="5">
        <v>45778</v>
      </c>
      <c r="C55" s="5">
        <v>45961</v>
      </c>
      <c r="D55">
        <v>184</v>
      </c>
      <c r="E55">
        <v>269</v>
      </c>
      <c r="F55">
        <v>175426</v>
      </c>
      <c r="G55">
        <v>133029</v>
      </c>
      <c r="H55">
        <v>133335</v>
      </c>
      <c r="I55">
        <v>133182</v>
      </c>
      <c r="J55">
        <v>722.98369565217388</v>
      </c>
      <c r="K55">
        <v>2.6876717310489737</v>
      </c>
      <c r="L55" t="s">
        <v>136</v>
      </c>
    </row>
    <row r="56" spans="1:12" x14ac:dyDescent="0.2">
      <c r="A56" t="s">
        <v>105</v>
      </c>
      <c r="B56" s="5">
        <v>45778</v>
      </c>
      <c r="C56" s="5">
        <v>45961</v>
      </c>
      <c r="D56">
        <v>184</v>
      </c>
      <c r="E56">
        <v>217</v>
      </c>
      <c r="F56">
        <v>78004</v>
      </c>
      <c r="G56">
        <v>45750</v>
      </c>
      <c r="H56">
        <v>45668</v>
      </c>
      <c r="I56">
        <v>45709</v>
      </c>
      <c r="J56">
        <v>248.64130434782609</v>
      </c>
      <c r="K56">
        <v>1.1458124624323782</v>
      </c>
      <c r="L56" t="s">
        <v>136</v>
      </c>
    </row>
    <row r="57" spans="1:12" x14ac:dyDescent="0.2">
      <c r="A57" t="s">
        <v>106</v>
      </c>
      <c r="B57" s="5">
        <v>45778</v>
      </c>
      <c r="C57" s="5">
        <v>45961</v>
      </c>
      <c r="D57">
        <v>184</v>
      </c>
      <c r="E57">
        <v>137</v>
      </c>
      <c r="F57">
        <v>96676</v>
      </c>
      <c r="G57">
        <v>77122</v>
      </c>
      <c r="H57">
        <v>77079</v>
      </c>
      <c r="I57">
        <v>77100.5</v>
      </c>
      <c r="J57">
        <v>419.14130434782606</v>
      </c>
      <c r="K57">
        <v>3.0594255791812119</v>
      </c>
      <c r="L57" t="s">
        <v>136</v>
      </c>
    </row>
    <row r="58" spans="1:12" x14ac:dyDescent="0.2">
      <c r="A58" t="s">
        <v>107</v>
      </c>
      <c r="B58" s="5">
        <v>45778</v>
      </c>
      <c r="C58" s="5">
        <v>45961</v>
      </c>
      <c r="D58">
        <v>184</v>
      </c>
      <c r="E58">
        <v>20</v>
      </c>
      <c r="F58">
        <v>3029</v>
      </c>
      <c r="G58">
        <v>2069</v>
      </c>
      <c r="H58">
        <v>2070</v>
      </c>
      <c r="I58">
        <v>2069.5</v>
      </c>
      <c r="J58">
        <v>11.244565217391305</v>
      </c>
      <c r="K58">
        <v>0.56222826086956523</v>
      </c>
      <c r="L58" t="s">
        <v>136</v>
      </c>
    </row>
    <row r="59" spans="1:12" x14ac:dyDescent="0.2">
      <c r="A59" t="s">
        <v>108</v>
      </c>
      <c r="B59" s="5">
        <v>45778</v>
      </c>
      <c r="C59" s="5">
        <v>45961</v>
      </c>
      <c r="D59">
        <v>184</v>
      </c>
      <c r="E59">
        <v>86</v>
      </c>
      <c r="F59">
        <v>105787</v>
      </c>
      <c r="G59">
        <v>90742</v>
      </c>
      <c r="H59">
        <v>90819</v>
      </c>
      <c r="I59">
        <v>90780.5</v>
      </c>
      <c r="J59">
        <v>493.16304347826087</v>
      </c>
      <c r="K59">
        <v>5.7344539939332657</v>
      </c>
      <c r="L59" t="s">
        <v>136</v>
      </c>
    </row>
    <row r="60" spans="1:12" x14ac:dyDescent="0.2">
      <c r="A60" t="s">
        <v>109</v>
      </c>
      <c r="B60" s="5">
        <v>45778</v>
      </c>
      <c r="C60" s="5">
        <v>45961</v>
      </c>
      <c r="D60">
        <v>184</v>
      </c>
      <c r="E60">
        <v>39</v>
      </c>
      <c r="F60">
        <v>43178</v>
      </c>
      <c r="G60">
        <v>39531</v>
      </c>
      <c r="H60">
        <v>39534</v>
      </c>
      <c r="I60">
        <v>39532.5</v>
      </c>
      <c r="J60">
        <v>214.84239130434781</v>
      </c>
      <c r="K60">
        <v>5.5087792642140467</v>
      </c>
      <c r="L60" t="s">
        <v>136</v>
      </c>
    </row>
    <row r="61" spans="1:12" x14ac:dyDescent="0.2">
      <c r="A61" t="s">
        <v>110</v>
      </c>
      <c r="B61" s="5">
        <v>45778</v>
      </c>
      <c r="C61" s="5">
        <v>45961</v>
      </c>
      <c r="D61">
        <v>184</v>
      </c>
      <c r="E61">
        <v>64</v>
      </c>
      <c r="F61">
        <v>38393</v>
      </c>
      <c r="G61">
        <v>29552</v>
      </c>
      <c r="H61">
        <v>29479</v>
      </c>
      <c r="I61">
        <v>29515.5</v>
      </c>
      <c r="J61">
        <v>160.60869565217391</v>
      </c>
      <c r="K61">
        <v>2.5095108695652173</v>
      </c>
      <c r="L61" t="s">
        <v>136</v>
      </c>
    </row>
    <row r="62" spans="1:12" x14ac:dyDescent="0.2">
      <c r="A62" t="s">
        <v>111</v>
      </c>
      <c r="B62" s="5">
        <v>45778</v>
      </c>
      <c r="C62" s="5">
        <v>45961</v>
      </c>
      <c r="D62">
        <v>184</v>
      </c>
      <c r="E62">
        <v>43</v>
      </c>
      <c r="F62">
        <v>9154</v>
      </c>
      <c r="G62">
        <v>6866</v>
      </c>
      <c r="H62">
        <v>6876</v>
      </c>
      <c r="I62">
        <v>6871</v>
      </c>
      <c r="J62">
        <v>37.315217391304351</v>
      </c>
      <c r="K62">
        <v>0.86779575328614766</v>
      </c>
      <c r="L62" t="s">
        <v>136</v>
      </c>
    </row>
    <row r="63" spans="1:12" s="7" customFormat="1" x14ac:dyDescent="0.2">
      <c r="A63" s="7" t="s">
        <v>112</v>
      </c>
      <c r="B63" s="8">
        <v>45778</v>
      </c>
      <c r="C63" s="8">
        <v>45961</v>
      </c>
      <c r="D63" s="7">
        <v>184</v>
      </c>
      <c r="E63" s="7">
        <v>1494</v>
      </c>
      <c r="F63" s="7">
        <v>506771</v>
      </c>
      <c r="G63" s="7">
        <v>355917</v>
      </c>
      <c r="H63" s="7">
        <v>354964</v>
      </c>
      <c r="I63" s="7">
        <v>355440.5</v>
      </c>
      <c r="J63" s="7">
        <v>1934.3315217391305</v>
      </c>
      <c r="K63" s="7">
        <v>1.2947332809498866</v>
      </c>
      <c r="L63" s="7" t="s">
        <v>136</v>
      </c>
    </row>
    <row r="64" spans="1:12" x14ac:dyDescent="0.2">
      <c r="A64" t="s">
        <v>113</v>
      </c>
      <c r="B64" s="5">
        <v>45778</v>
      </c>
      <c r="C64" s="5">
        <v>45961</v>
      </c>
      <c r="D64">
        <v>184</v>
      </c>
      <c r="E64">
        <v>143</v>
      </c>
      <c r="F64">
        <v>55243</v>
      </c>
      <c r="G64">
        <v>36246</v>
      </c>
      <c r="H64">
        <v>36224</v>
      </c>
      <c r="I64">
        <v>36235</v>
      </c>
      <c r="J64">
        <v>196.9891304347826</v>
      </c>
      <c r="K64">
        <v>1.3775463666768013</v>
      </c>
      <c r="L64" t="s">
        <v>136</v>
      </c>
    </row>
    <row r="65" spans="1:12" x14ac:dyDescent="0.2">
      <c r="A65" t="s">
        <v>114</v>
      </c>
      <c r="B65" s="5">
        <v>45778</v>
      </c>
      <c r="C65" s="5">
        <v>45961</v>
      </c>
      <c r="D65">
        <v>184</v>
      </c>
      <c r="E65">
        <v>141</v>
      </c>
      <c r="F65">
        <v>11696</v>
      </c>
      <c r="G65">
        <v>7524</v>
      </c>
      <c r="H65">
        <v>7468</v>
      </c>
      <c r="I65">
        <v>7496</v>
      </c>
      <c r="J65">
        <v>40.891304347826086</v>
      </c>
      <c r="K65">
        <v>0.29000925069380201</v>
      </c>
      <c r="L65" t="s">
        <v>136</v>
      </c>
    </row>
    <row r="66" spans="1:12" s="7" customFormat="1" x14ac:dyDescent="0.2">
      <c r="A66" s="7" t="s">
        <v>115</v>
      </c>
      <c r="B66" s="8">
        <v>45778</v>
      </c>
      <c r="C66" s="8">
        <v>45961</v>
      </c>
      <c r="D66" s="7">
        <v>184</v>
      </c>
      <c r="E66" s="7">
        <v>2292</v>
      </c>
      <c r="F66" s="7">
        <v>2538277</v>
      </c>
      <c r="G66" s="7">
        <v>2228568</v>
      </c>
      <c r="H66" s="7">
        <v>2227321</v>
      </c>
      <c r="I66" s="7">
        <v>2227944.5</v>
      </c>
      <c r="J66" s="7">
        <v>12111.782608695652</v>
      </c>
      <c r="K66" s="7">
        <v>5.2843728659230598</v>
      </c>
      <c r="L66" s="7" t="s">
        <v>136</v>
      </c>
    </row>
    <row r="67" spans="1:12" s="7" customFormat="1" x14ac:dyDescent="0.2">
      <c r="A67" s="7" t="s">
        <v>116</v>
      </c>
      <c r="B67" s="8">
        <v>45778</v>
      </c>
      <c r="C67" s="8">
        <v>45961</v>
      </c>
      <c r="D67" s="7">
        <v>184</v>
      </c>
      <c r="E67" s="7">
        <v>285</v>
      </c>
      <c r="F67" s="7">
        <v>152190</v>
      </c>
      <c r="G67" s="7">
        <v>101276</v>
      </c>
      <c r="H67" s="7">
        <v>101143</v>
      </c>
      <c r="I67" s="7">
        <v>101209.5</v>
      </c>
      <c r="J67" s="7">
        <v>550.41304347826087</v>
      </c>
      <c r="K67" s="7">
        <v>1.9312738367658275</v>
      </c>
      <c r="L67" s="7" t="s">
        <v>136</v>
      </c>
    </row>
    <row r="68" spans="1:12" s="7" customFormat="1" x14ac:dyDescent="0.2">
      <c r="A68" s="7" t="s">
        <v>117</v>
      </c>
      <c r="B68" s="8">
        <v>45778</v>
      </c>
      <c r="C68" s="8">
        <v>45961</v>
      </c>
      <c r="D68" s="7">
        <v>184</v>
      </c>
      <c r="E68" s="7">
        <v>615</v>
      </c>
      <c r="F68" s="7">
        <v>364231</v>
      </c>
      <c r="G68" s="7">
        <v>276999</v>
      </c>
      <c r="H68" s="7">
        <v>277322</v>
      </c>
      <c r="I68" s="7">
        <v>277160.5</v>
      </c>
      <c r="J68" s="7">
        <v>1505.429347826087</v>
      </c>
      <c r="K68" s="7">
        <v>2.4478525980911985</v>
      </c>
      <c r="L68" s="7" t="s">
        <v>136</v>
      </c>
    </row>
    <row r="69" spans="1:12" x14ac:dyDescent="0.2">
      <c r="A69" t="s">
        <v>118</v>
      </c>
      <c r="B69" s="5">
        <v>45778</v>
      </c>
      <c r="C69" s="5">
        <v>45961</v>
      </c>
      <c r="D69">
        <v>184</v>
      </c>
      <c r="E69">
        <v>97</v>
      </c>
      <c r="F69">
        <v>36247</v>
      </c>
      <c r="G69">
        <v>28865</v>
      </c>
      <c r="H69">
        <v>28891</v>
      </c>
      <c r="I69">
        <v>28878</v>
      </c>
      <c r="J69">
        <v>156.875</v>
      </c>
      <c r="K69">
        <v>1.6172680412371134</v>
      </c>
      <c r="L69" t="s">
        <v>136</v>
      </c>
    </row>
    <row r="70" spans="1:12" s="7" customFormat="1" x14ac:dyDescent="0.2">
      <c r="A70" s="7" t="s">
        <v>119</v>
      </c>
      <c r="B70" s="8">
        <v>45778</v>
      </c>
      <c r="C70" s="8">
        <v>45961</v>
      </c>
      <c r="D70" s="7">
        <v>184</v>
      </c>
      <c r="E70" s="7">
        <v>828</v>
      </c>
      <c r="F70" s="7">
        <v>464786</v>
      </c>
      <c r="G70" s="7">
        <v>331669</v>
      </c>
      <c r="H70" s="7">
        <v>332652</v>
      </c>
      <c r="I70" s="7">
        <v>332160.5</v>
      </c>
      <c r="J70" s="7">
        <v>1802.5489130434783</v>
      </c>
      <c r="K70" s="7">
        <v>2.1769914408737661</v>
      </c>
      <c r="L70" s="7" t="s">
        <v>136</v>
      </c>
    </row>
    <row r="71" spans="1:12" x14ac:dyDescent="0.2">
      <c r="A71" t="s">
        <v>120</v>
      </c>
      <c r="B71" s="5">
        <v>45778</v>
      </c>
      <c r="C71" s="5">
        <v>45961</v>
      </c>
      <c r="D71">
        <v>184</v>
      </c>
      <c r="E71">
        <v>106</v>
      </c>
      <c r="F71">
        <v>71043</v>
      </c>
      <c r="G71">
        <v>44237</v>
      </c>
      <c r="H71">
        <v>44177</v>
      </c>
      <c r="I71">
        <v>44207</v>
      </c>
      <c r="J71">
        <v>240.41847826086956</v>
      </c>
      <c r="K71">
        <v>2.2680988515176375</v>
      </c>
      <c r="L71" t="s">
        <v>136</v>
      </c>
    </row>
    <row r="72" spans="1:12" x14ac:dyDescent="0.2">
      <c r="A72" t="s">
        <v>121</v>
      </c>
      <c r="B72" s="5">
        <v>45778</v>
      </c>
      <c r="C72" s="5">
        <v>45961</v>
      </c>
      <c r="D72">
        <v>184</v>
      </c>
      <c r="E72">
        <v>234</v>
      </c>
      <c r="F72">
        <v>118823</v>
      </c>
      <c r="G72">
        <v>63302</v>
      </c>
      <c r="H72">
        <v>63153</v>
      </c>
      <c r="I72">
        <v>63227.5</v>
      </c>
      <c r="J72">
        <v>344.03260869565219</v>
      </c>
      <c r="K72">
        <v>1.4702248234856932</v>
      </c>
      <c r="L72" t="s">
        <v>136</v>
      </c>
    </row>
    <row r="73" spans="1:12" x14ac:dyDescent="0.2">
      <c r="A73" t="s">
        <v>122</v>
      </c>
      <c r="B73" s="5">
        <v>45778</v>
      </c>
      <c r="C73" s="5">
        <v>45961</v>
      </c>
      <c r="D73">
        <v>184</v>
      </c>
      <c r="E73">
        <v>194</v>
      </c>
      <c r="F73">
        <v>84276</v>
      </c>
      <c r="G73">
        <v>47446</v>
      </c>
      <c r="H73">
        <v>47286</v>
      </c>
      <c r="I73">
        <v>47366</v>
      </c>
      <c r="J73">
        <v>257.85869565217394</v>
      </c>
      <c r="K73">
        <v>1.3291685342895563</v>
      </c>
      <c r="L73" t="s">
        <v>136</v>
      </c>
    </row>
    <row r="74" spans="1:12" x14ac:dyDescent="0.2">
      <c r="A74" t="s">
        <v>123</v>
      </c>
      <c r="B74" s="5">
        <v>45778</v>
      </c>
      <c r="C74" s="5">
        <v>45961</v>
      </c>
      <c r="D74">
        <v>184</v>
      </c>
      <c r="E74">
        <v>87</v>
      </c>
      <c r="F74">
        <v>20111</v>
      </c>
      <c r="G74">
        <v>11228</v>
      </c>
      <c r="H74">
        <v>11193</v>
      </c>
      <c r="I74">
        <v>11210.5</v>
      </c>
      <c r="J74">
        <v>61.021739130434781</v>
      </c>
      <c r="K74">
        <v>0.70139930034982512</v>
      </c>
      <c r="L74" t="s">
        <v>136</v>
      </c>
    </row>
    <row r="75" spans="1:12" x14ac:dyDescent="0.2">
      <c r="A75" t="s">
        <v>124</v>
      </c>
      <c r="B75" s="5">
        <v>45778</v>
      </c>
      <c r="C75" s="5">
        <v>45961</v>
      </c>
      <c r="D75">
        <v>184</v>
      </c>
      <c r="E75">
        <v>1</v>
      </c>
      <c r="F75">
        <v>2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136</v>
      </c>
    </row>
    <row r="76" spans="1:12" x14ac:dyDescent="0.2">
      <c r="A76" t="s">
        <v>125</v>
      </c>
      <c r="B76" s="5">
        <v>45778</v>
      </c>
      <c r="C76" s="5">
        <v>45961</v>
      </c>
      <c r="D76">
        <v>184</v>
      </c>
      <c r="E76">
        <v>0</v>
      </c>
      <c r="F76">
        <v>0</v>
      </c>
      <c r="L76" t="s">
        <v>136</v>
      </c>
    </row>
    <row r="77" spans="1:12" x14ac:dyDescent="0.2">
      <c r="A77" t="s">
        <v>126</v>
      </c>
      <c r="B77" s="5">
        <v>45778</v>
      </c>
      <c r="C77" s="5">
        <v>45961</v>
      </c>
      <c r="D77">
        <v>184</v>
      </c>
      <c r="E77">
        <v>115</v>
      </c>
      <c r="F77">
        <v>34534</v>
      </c>
      <c r="G77">
        <v>20789</v>
      </c>
      <c r="H77">
        <v>20544</v>
      </c>
      <c r="I77">
        <v>20666.5</v>
      </c>
      <c r="J77">
        <v>112.98369565217391</v>
      </c>
      <c r="K77">
        <v>0.98246691871455571</v>
      </c>
      <c r="L77" t="s">
        <v>136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CC38-E1DD-AC45-9565-A2D4A9D1619D}">
  <dimension ref="A1:K9"/>
  <sheetViews>
    <sheetView workbookViewId="0">
      <selection activeCell="H10" sqref="H10"/>
    </sheetView>
  </sheetViews>
  <sheetFormatPr baseColWidth="10" defaultRowHeight="16" x14ac:dyDescent="0.2"/>
  <cols>
    <col min="1" max="1" width="31.1640625" bestFit="1" customWidth="1"/>
    <col min="2" max="3" width="10.5" bestFit="1" customWidth="1"/>
    <col min="4" max="4" width="4.83203125" bestFit="1" customWidth="1"/>
    <col min="5" max="5" width="7.6640625" bestFit="1" customWidth="1"/>
    <col min="6" max="6" width="11.5" bestFit="1" customWidth="1"/>
    <col min="7" max="7" width="28.6640625" bestFit="1" customWidth="1"/>
    <col min="8" max="8" width="25.6640625" bestFit="1" customWidth="1"/>
    <col min="9" max="9" width="33.1640625" bestFit="1" customWidth="1"/>
    <col min="10" max="10" width="31.1640625" bestFit="1" customWidth="1"/>
    <col min="11" max="11" width="41.5" bestFit="1" customWidth="1"/>
  </cols>
  <sheetData>
    <row r="1" spans="1:11" x14ac:dyDescent="0.2">
      <c r="A1" t="s">
        <v>0</v>
      </c>
      <c r="B1" t="s">
        <v>127</v>
      </c>
      <c r="C1" t="s">
        <v>128</v>
      </c>
      <c r="D1" t="s">
        <v>2</v>
      </c>
      <c r="E1" t="s">
        <v>3</v>
      </c>
      <c r="F1" t="s">
        <v>138</v>
      </c>
      <c r="G1" t="s">
        <v>143</v>
      </c>
      <c r="H1" t="s">
        <v>144</v>
      </c>
      <c r="I1" t="s">
        <v>145</v>
      </c>
      <c r="J1" t="s">
        <v>146</v>
      </c>
      <c r="K1" t="s">
        <v>147</v>
      </c>
    </row>
    <row r="2" spans="1:11" s="7" customFormat="1" x14ac:dyDescent="0.2">
      <c r="A2" s="7" t="s">
        <v>63</v>
      </c>
      <c r="B2" s="8">
        <v>45778</v>
      </c>
      <c r="C2" s="8">
        <v>45961</v>
      </c>
      <c r="D2" s="7">
        <v>184</v>
      </c>
      <c r="E2" s="7">
        <v>168</v>
      </c>
      <c r="F2" s="7">
        <v>187217</v>
      </c>
      <c r="G2" s="7">
        <v>172914</v>
      </c>
      <c r="H2" s="7">
        <v>172835</v>
      </c>
      <c r="I2" s="7">
        <v>172874.5</v>
      </c>
      <c r="J2" s="7">
        <v>939.75</v>
      </c>
      <c r="K2" s="7">
        <v>5.59375</v>
      </c>
    </row>
    <row r="3" spans="1:11" s="7" customFormat="1" x14ac:dyDescent="0.2">
      <c r="A3" s="7" t="s">
        <v>64</v>
      </c>
      <c r="B3" s="8">
        <v>45778</v>
      </c>
      <c r="C3" s="8">
        <v>45961</v>
      </c>
      <c r="D3" s="7">
        <v>184</v>
      </c>
      <c r="E3" s="7">
        <v>984</v>
      </c>
      <c r="F3" s="7">
        <v>613206</v>
      </c>
      <c r="G3" s="7">
        <v>475065</v>
      </c>
      <c r="H3" s="7">
        <v>475104</v>
      </c>
      <c r="I3" s="7">
        <v>475084.5</v>
      </c>
      <c r="J3" s="7">
        <v>2581.875</v>
      </c>
      <c r="K3" s="7">
        <v>2.6238567073170733</v>
      </c>
    </row>
    <row r="4" spans="1:11" s="7" customFormat="1" x14ac:dyDescent="0.2">
      <c r="A4" s="7" t="s">
        <v>101</v>
      </c>
      <c r="B4" s="8">
        <v>45778</v>
      </c>
      <c r="C4" s="8">
        <v>45961</v>
      </c>
      <c r="D4" s="7">
        <v>184</v>
      </c>
      <c r="E4" s="7">
        <v>678</v>
      </c>
      <c r="F4" s="7">
        <v>979858</v>
      </c>
      <c r="G4" s="7">
        <v>1120802</v>
      </c>
      <c r="H4" s="7">
        <v>1121144</v>
      </c>
      <c r="I4" s="7">
        <v>1120973</v>
      </c>
      <c r="J4" s="7">
        <v>6091.315217391304</v>
      </c>
      <c r="K4" s="7">
        <v>8.9842407336154935</v>
      </c>
    </row>
    <row r="5" spans="1:11" s="7" customFormat="1" x14ac:dyDescent="0.2">
      <c r="A5" s="7" t="s">
        <v>112</v>
      </c>
      <c r="B5" s="8">
        <v>45778</v>
      </c>
      <c r="C5" s="8">
        <v>45961</v>
      </c>
      <c r="D5" s="7">
        <v>184</v>
      </c>
      <c r="E5" s="7">
        <v>1494</v>
      </c>
      <c r="F5" s="7">
        <v>506771</v>
      </c>
      <c r="G5" s="7">
        <v>355917</v>
      </c>
      <c r="H5" s="7">
        <v>354964</v>
      </c>
      <c r="I5" s="7">
        <v>355440.5</v>
      </c>
      <c r="J5" s="7">
        <v>1934.3315217391305</v>
      </c>
      <c r="K5" s="7">
        <v>1.2947332809498866</v>
      </c>
    </row>
    <row r="6" spans="1:11" s="7" customFormat="1" x14ac:dyDescent="0.2">
      <c r="A6" s="7" t="s">
        <v>115</v>
      </c>
      <c r="B6" s="8">
        <v>45778</v>
      </c>
      <c r="C6" s="8">
        <v>45961</v>
      </c>
      <c r="D6" s="7">
        <v>184</v>
      </c>
      <c r="E6" s="7">
        <v>2292</v>
      </c>
      <c r="F6" s="7">
        <v>2538277</v>
      </c>
      <c r="G6" s="7">
        <v>2228568</v>
      </c>
      <c r="H6" s="7">
        <v>2227321</v>
      </c>
      <c r="I6" s="7">
        <v>2227944.5</v>
      </c>
      <c r="J6" s="7">
        <v>12111.782608695652</v>
      </c>
      <c r="K6" s="7">
        <v>5.2843728659230598</v>
      </c>
    </row>
    <row r="7" spans="1:11" s="7" customFormat="1" x14ac:dyDescent="0.2">
      <c r="A7" s="7" t="s">
        <v>116</v>
      </c>
      <c r="B7" s="8">
        <v>45778</v>
      </c>
      <c r="C7" s="8">
        <v>45961</v>
      </c>
      <c r="D7" s="7">
        <v>184</v>
      </c>
      <c r="E7" s="7">
        <v>285</v>
      </c>
      <c r="F7" s="7">
        <v>152190</v>
      </c>
      <c r="G7" s="7">
        <v>101276</v>
      </c>
      <c r="H7" s="7">
        <v>101143</v>
      </c>
      <c r="I7" s="7">
        <v>101209.5</v>
      </c>
      <c r="J7" s="7">
        <v>550.41304347826087</v>
      </c>
      <c r="K7" s="7">
        <v>1.9312738367658275</v>
      </c>
    </row>
    <row r="8" spans="1:11" s="7" customFormat="1" x14ac:dyDescent="0.2">
      <c r="A8" s="7" t="s">
        <v>117</v>
      </c>
      <c r="B8" s="8">
        <v>45778</v>
      </c>
      <c r="C8" s="8">
        <v>45961</v>
      </c>
      <c r="D8" s="7">
        <v>184</v>
      </c>
      <c r="E8" s="7">
        <v>615</v>
      </c>
      <c r="F8" s="7">
        <v>364231</v>
      </c>
      <c r="G8" s="7">
        <v>276999</v>
      </c>
      <c r="H8" s="7">
        <v>277322</v>
      </c>
      <c r="I8" s="7">
        <v>277160.5</v>
      </c>
      <c r="J8" s="7">
        <v>1505.429347826087</v>
      </c>
      <c r="K8" s="7">
        <v>2.4478525980911985</v>
      </c>
    </row>
    <row r="9" spans="1:11" s="7" customFormat="1" x14ac:dyDescent="0.2">
      <c r="A9" s="7" t="s">
        <v>119</v>
      </c>
      <c r="B9" s="8">
        <v>45778</v>
      </c>
      <c r="C9" s="8">
        <v>45961</v>
      </c>
      <c r="D9" s="7">
        <v>184</v>
      </c>
      <c r="E9" s="7">
        <v>828</v>
      </c>
      <c r="F9" s="7">
        <v>464786</v>
      </c>
      <c r="G9" s="7">
        <v>331669</v>
      </c>
      <c r="H9" s="7">
        <v>332652</v>
      </c>
      <c r="I9" s="7">
        <v>332160.5</v>
      </c>
      <c r="J9" s="7">
        <v>1802.5489130434783</v>
      </c>
      <c r="K9" s="7">
        <v>2.1769914408737661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42D92-CC32-EA4D-820A-0C4F374C2BE8}">
  <dimension ref="A1:L18"/>
  <sheetViews>
    <sheetView workbookViewId="0">
      <selection activeCell="D2" sqref="D2"/>
    </sheetView>
  </sheetViews>
  <sheetFormatPr baseColWidth="10" defaultRowHeight="16" x14ac:dyDescent="0.2"/>
  <cols>
    <col min="1" max="2" width="12.1640625" bestFit="1" customWidth="1"/>
    <col min="3" max="3" width="7.5" bestFit="1" customWidth="1"/>
    <col min="4" max="4" width="10.5" bestFit="1" customWidth="1"/>
    <col min="5" max="5" width="14.6640625" bestFit="1" customWidth="1"/>
    <col min="6" max="6" width="25.1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" x14ac:dyDescent="0.2">
      <c r="A2" t="s">
        <v>34</v>
      </c>
      <c r="B2" s="1">
        <v>9972891</v>
      </c>
      <c r="C2" s="1">
        <v>184</v>
      </c>
      <c r="D2" s="1">
        <v>678</v>
      </c>
      <c r="E2">
        <v>54200.49</v>
      </c>
      <c r="F2">
        <v>79.94</v>
      </c>
    </row>
    <row r="3" spans="1:12" x14ac:dyDescent="0.2">
      <c r="A3" t="s">
        <v>46</v>
      </c>
      <c r="B3" s="1">
        <v>29211310</v>
      </c>
      <c r="C3" s="1">
        <v>184</v>
      </c>
      <c r="D3" s="1">
        <v>2288</v>
      </c>
      <c r="E3">
        <v>158757.12</v>
      </c>
      <c r="F3">
        <v>69.39</v>
      </c>
    </row>
    <row r="4" spans="1:12" x14ac:dyDescent="0.2">
      <c r="A4" t="s">
        <v>39</v>
      </c>
      <c r="B4" s="1">
        <v>12304009</v>
      </c>
      <c r="C4" s="1">
        <v>184</v>
      </c>
      <c r="D4" s="1">
        <v>1222</v>
      </c>
      <c r="E4">
        <v>66869.61</v>
      </c>
      <c r="F4">
        <v>54.72</v>
      </c>
    </row>
    <row r="5" spans="1:12" x14ac:dyDescent="0.2">
      <c r="A5" t="s">
        <v>40</v>
      </c>
      <c r="B5" s="1">
        <v>5959086</v>
      </c>
      <c r="C5" s="1">
        <v>184</v>
      </c>
      <c r="D5" s="1">
        <v>1026</v>
      </c>
      <c r="E5">
        <v>32386.34</v>
      </c>
      <c r="F5">
        <v>31.57</v>
      </c>
    </row>
    <row r="6" spans="1:12" x14ac:dyDescent="0.2">
      <c r="A6" t="s">
        <v>47</v>
      </c>
      <c r="B6" s="1">
        <v>3107033</v>
      </c>
      <c r="C6" s="1">
        <v>184</v>
      </c>
      <c r="D6" s="1">
        <v>602</v>
      </c>
      <c r="E6">
        <v>16886.05</v>
      </c>
      <c r="F6">
        <v>28.05</v>
      </c>
    </row>
    <row r="7" spans="1:12" x14ac:dyDescent="0.2">
      <c r="A7" t="s">
        <v>43</v>
      </c>
      <c r="B7" s="1">
        <v>3423252</v>
      </c>
      <c r="C7" s="1">
        <v>184</v>
      </c>
      <c r="D7" s="1">
        <v>832</v>
      </c>
      <c r="E7">
        <v>18604.63</v>
      </c>
      <c r="F7">
        <v>22.36</v>
      </c>
    </row>
    <row r="8" spans="1:12" x14ac:dyDescent="0.2">
      <c r="A8" t="s">
        <v>42</v>
      </c>
      <c r="B8" s="1">
        <v>2472899</v>
      </c>
      <c r="C8" s="1">
        <v>184</v>
      </c>
      <c r="D8" s="1">
        <v>627</v>
      </c>
      <c r="E8">
        <v>13439.67</v>
      </c>
      <c r="F8">
        <v>21.43</v>
      </c>
    </row>
    <row r="9" spans="1:12" x14ac:dyDescent="0.2">
      <c r="A9" t="s">
        <v>31</v>
      </c>
      <c r="B9" s="1">
        <v>872942</v>
      </c>
      <c r="C9" s="1">
        <v>184</v>
      </c>
      <c r="D9" s="1">
        <v>286</v>
      </c>
      <c r="E9">
        <v>4744.25</v>
      </c>
      <c r="F9">
        <v>16.59</v>
      </c>
    </row>
    <row r="10" spans="1:12" x14ac:dyDescent="0.2">
      <c r="A10" t="s">
        <v>41</v>
      </c>
      <c r="B10" s="1">
        <v>3632109</v>
      </c>
      <c r="C10" s="1">
        <v>184</v>
      </c>
      <c r="D10" s="1">
        <v>1764</v>
      </c>
      <c r="E10">
        <v>19739.72</v>
      </c>
      <c r="F10">
        <v>11.19</v>
      </c>
    </row>
    <row r="11" spans="1:12" x14ac:dyDescent="0.2">
      <c r="A11" t="s">
        <v>48</v>
      </c>
      <c r="B11" s="1">
        <v>626789</v>
      </c>
      <c r="C11" s="1">
        <v>184</v>
      </c>
      <c r="D11" s="1">
        <v>416</v>
      </c>
      <c r="E11">
        <v>3406.46</v>
      </c>
      <c r="F11">
        <v>8.19</v>
      </c>
    </row>
    <row r="12" spans="1:12" x14ac:dyDescent="0.2">
      <c r="A12" t="s">
        <v>29</v>
      </c>
      <c r="B12" s="1">
        <v>245340</v>
      </c>
      <c r="C12" s="1">
        <v>184</v>
      </c>
      <c r="D12" s="1">
        <v>234</v>
      </c>
      <c r="E12">
        <v>1333.37</v>
      </c>
      <c r="F12">
        <v>5.7</v>
      </c>
    </row>
    <row r="14" spans="1:12" ht="102" x14ac:dyDescent="0.2">
      <c r="L14" s="3" t="s">
        <v>49</v>
      </c>
    </row>
    <row r="18" spans="1:4" x14ac:dyDescent="0.2">
      <c r="A18" s="2" t="s">
        <v>46</v>
      </c>
      <c r="B18" s="1">
        <f>B3+B11</f>
        <v>29838099</v>
      </c>
      <c r="D18" s="1">
        <f>D3+D11 -403</f>
        <v>2301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4A528-03B8-504D-9673-13A288F65D81}">
  <dimension ref="A1:D5"/>
  <sheetViews>
    <sheetView workbookViewId="0">
      <selection activeCell="C5" sqref="C5"/>
    </sheetView>
  </sheetViews>
  <sheetFormatPr baseColWidth="10" defaultRowHeight="16" x14ac:dyDescent="0.2"/>
  <cols>
    <col min="1" max="1" width="12.1640625" bestFit="1" customWidth="1"/>
    <col min="2" max="2" width="16.5" bestFit="1" customWidth="1"/>
    <col min="3" max="3" width="16.83203125" bestFit="1" customWidth="1"/>
    <col min="4" max="4" width="15.6640625" bestFit="1" customWidth="1"/>
  </cols>
  <sheetData>
    <row r="1" spans="1:4" x14ac:dyDescent="0.2">
      <c r="A1" t="s">
        <v>0</v>
      </c>
      <c r="B1" t="s">
        <v>26</v>
      </c>
      <c r="C1" t="s">
        <v>27</v>
      </c>
      <c r="D1" t="s">
        <v>28</v>
      </c>
    </row>
    <row r="2" spans="1:4" x14ac:dyDescent="0.2">
      <c r="A2" t="s">
        <v>29</v>
      </c>
      <c r="B2" t="s">
        <v>30</v>
      </c>
      <c r="C2">
        <v>1746</v>
      </c>
      <c r="D2">
        <v>245340</v>
      </c>
    </row>
    <row r="3" spans="1:4" x14ac:dyDescent="0.2">
      <c r="A3" t="s">
        <v>31</v>
      </c>
      <c r="B3" t="s">
        <v>30</v>
      </c>
      <c r="C3">
        <v>3098</v>
      </c>
      <c r="D3">
        <v>872942</v>
      </c>
    </row>
    <row r="4" spans="1:4" x14ac:dyDescent="0.2">
      <c r="A4" t="s">
        <v>32</v>
      </c>
      <c r="B4" t="s">
        <v>33</v>
      </c>
      <c r="C4">
        <v>9428</v>
      </c>
      <c r="D4">
        <v>5959086</v>
      </c>
    </row>
    <row r="5" spans="1:4" x14ac:dyDescent="0.2">
      <c r="A5" t="s">
        <v>34</v>
      </c>
      <c r="B5" t="s">
        <v>35</v>
      </c>
      <c r="C5">
        <v>7836</v>
      </c>
      <c r="D5">
        <v>9973122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F1176-A7FB-CC49-AB5F-535F2B31C05B}">
  <dimension ref="A1:F10"/>
  <sheetViews>
    <sheetView workbookViewId="0">
      <selection activeCell="C9" sqref="C9"/>
    </sheetView>
  </sheetViews>
  <sheetFormatPr baseColWidth="10" defaultRowHeight="16" x14ac:dyDescent="0.2"/>
  <cols>
    <col min="1" max="1" width="12.1640625" bestFit="1" customWidth="1"/>
    <col min="2" max="2" width="10.5" bestFit="1" customWidth="1"/>
    <col min="3" max="3" width="22.1640625" bestFit="1" customWidth="1"/>
  </cols>
  <sheetData>
    <row r="1" spans="1:6" x14ac:dyDescent="0.2">
      <c r="A1" t="s">
        <v>0</v>
      </c>
      <c r="B1" t="s">
        <v>3</v>
      </c>
      <c r="C1" t="s">
        <v>38</v>
      </c>
    </row>
    <row r="2" spans="1:6" x14ac:dyDescent="0.2">
      <c r="A2" t="s">
        <v>39</v>
      </c>
      <c r="B2">
        <v>1213</v>
      </c>
      <c r="C2">
        <v>26840</v>
      </c>
    </row>
    <row r="3" spans="1:6" x14ac:dyDescent="0.2">
      <c r="A3" t="s">
        <v>40</v>
      </c>
      <c r="B3">
        <v>1034</v>
      </c>
      <c r="C3">
        <v>19636</v>
      </c>
    </row>
    <row r="4" spans="1:6" x14ac:dyDescent="0.2">
      <c r="A4" t="s">
        <v>34</v>
      </c>
      <c r="B4">
        <v>678</v>
      </c>
      <c r="C4">
        <v>18226</v>
      </c>
    </row>
    <row r="5" spans="1:6" x14ac:dyDescent="0.2">
      <c r="A5" t="s">
        <v>41</v>
      </c>
      <c r="B5">
        <v>1925</v>
      </c>
      <c r="C5">
        <v>23586</v>
      </c>
    </row>
    <row r="6" spans="1:6" x14ac:dyDescent="0.2">
      <c r="A6" t="s">
        <v>31</v>
      </c>
      <c r="B6">
        <v>288</v>
      </c>
      <c r="C6">
        <v>5424</v>
      </c>
    </row>
    <row r="7" spans="1:6" x14ac:dyDescent="0.2">
      <c r="A7" t="s">
        <v>42</v>
      </c>
      <c r="B7">
        <v>616</v>
      </c>
      <c r="C7">
        <v>14067</v>
      </c>
    </row>
    <row r="8" spans="1:6" x14ac:dyDescent="0.2">
      <c r="A8" t="s">
        <v>43</v>
      </c>
      <c r="B8">
        <v>829</v>
      </c>
      <c r="C8">
        <v>14991</v>
      </c>
    </row>
    <row r="9" spans="1:6" x14ac:dyDescent="0.2">
      <c r="A9" t="s">
        <v>46</v>
      </c>
      <c r="B9">
        <v>2317</v>
      </c>
      <c r="C9">
        <v>74081</v>
      </c>
    </row>
    <row r="10" spans="1:6" x14ac:dyDescent="0.2">
      <c r="A10" s="9" t="s">
        <v>44</v>
      </c>
      <c r="B10" s="9"/>
      <c r="C10" s="9"/>
      <c r="D10" s="9"/>
      <c r="E10" s="9"/>
      <c r="F10" s="9"/>
    </row>
  </sheetData>
  <mergeCells count="1">
    <mergeCell ref="A10:F10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25BDF3-D141-F24E-AC23-76CB96FA2F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system_metrics_2025_05_to_10</vt:lpstr>
      <vt:lpstr>max_bikes_available_last_snapsh</vt:lpstr>
      <vt:lpstr>fleet_estimate_delta_algo_2025-</vt:lpstr>
      <vt:lpstr>estimated_trips_from_maxhalford</vt:lpstr>
      <vt:lpstr>Sheet2</vt:lpstr>
      <vt:lpstr>system_metrics_2025_05_to_10 (3</vt:lpstr>
      <vt:lpstr>bike_id_fleet_estimates (2)</vt:lpstr>
      <vt:lpstr>maxhalford_capacity_estimates (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Johny Savard</dc:creator>
  <cp:lastModifiedBy>Johny Savard</cp:lastModifiedBy>
  <dcterms:created xsi:type="dcterms:W3CDTF">2026-05-21T18:57:20Z</dcterms:created>
  <dcterms:modified xsi:type="dcterms:W3CDTF">2026-05-28T13:36:30Z</dcterms:modified>
</cp:coreProperties>
</file>